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harts/colors16.xml" ContentType="application/vnd.ms-office.chartcolorstyle+xml"/>
  <Override PartName="/xl/charts/style16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style15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worksheets/sheet3.xml" ContentType="application/vnd.openxmlformats-officedocument.spreadsheetml.worksheet+xml"/>
  <Override PartName="/xl/charts/chart13.xml" ContentType="application/vnd.openxmlformats-officedocument.drawingml.chart+xml"/>
  <Override PartName="/xl/styles.xml" ContentType="application/vnd.openxmlformats-officedocument.spreadsheetml.styles+xml"/>
  <Override PartName="/xl/charts/style5.xml" ContentType="application/vnd.ms-office.chartstyle+xml"/>
  <Override PartName="/xl/charts/chart12.xml" ContentType="application/vnd.openxmlformats-officedocument.drawingml.chart+xml"/>
  <Override PartName="/xl/charts/style8.xml" ContentType="application/vnd.ms-office.chartstyle+xml"/>
  <Override PartName="/xl/charts/chart5.xml" ContentType="application/vnd.openxmlformats-officedocument.drawingml.chart+xml"/>
  <Override PartName="/xl/charts/chart8.xml" ContentType="application/vnd.openxmlformats-officedocument.drawingml.chart+xml"/>
  <Override PartName="/docProps/app.xml" ContentType="application/vnd.openxmlformats-officedocument.extended-properties+xml"/>
  <Override PartName="/xl/charts/style2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chart10.xml" ContentType="application/vnd.openxmlformats-officedocument.drawingml.chart+xml"/>
  <Override PartName="/xl/charts/chart16.xml" ContentType="application/vnd.openxmlformats-officedocument.drawingml.chart+xml"/>
  <Override PartName="/xl/charts/style1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style6.xml" ContentType="application/vnd.ms-office.chartstyle+xml"/>
  <Override PartName="/xl/charts/chart3.xml" ContentType="application/vnd.openxmlformats-officedocument.drawingml.chart+xml"/>
  <Override PartName="/xl/charts/colors12.xml" ContentType="application/vnd.ms-office.chartcolor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chart9.xml" ContentType="application/vnd.openxmlformats-officedocument.drawingml.chart+xml"/>
  <Override PartName="/xl/charts/colors3.xml" ContentType="application/vnd.ms-office.chartcolor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style4.xml" ContentType="application/vnd.ms-office.chartstyle+xml"/>
  <Override PartName="/xl/charts/style10.xml" ContentType="application/vnd.ms-office.chartstyle+xml"/>
  <Override PartName="/xl/charts/chart6.xml" ContentType="application/vnd.openxmlformats-officedocument.drawingml.chart+xml"/>
  <Override PartName="/xl/charts/colors10.xml" ContentType="application/vnd.ms-office.chartcolorstyle+xml"/>
  <Override PartName="/xl/workbook.xml" ContentType="application/vnd.openxmlformats-officedocument.spreadsheetml.sheet.main+xml"/>
  <Override PartName="/xl/charts/colors5.xml" ContentType="application/vnd.ms-office.chartcolorstyle+xml"/>
  <Override PartName="/xl/charts/chart15.xml" ContentType="application/vnd.openxmlformats-officedocument.drawingml.chart+xml"/>
  <Override PartName="/xl/worksheets/sheet2.xml" ContentType="application/vnd.openxmlformats-officedocument.spreadsheetml.worksheet+xml"/>
  <Override PartName="/xl/charts/colors11.xml" ContentType="application/vnd.ms-office.chartcolorstyle+xml"/>
  <Override PartName="/xl/charts/style12.xml" ContentType="application/vnd.ms-office.chartstyle+xml"/>
  <Override PartName="/xl/charts/style13.xml" ContentType="application/vnd.ms-office.chartstyle+xml"/>
  <Override PartName="/xl/charts/chart14.xml" ContentType="application/vnd.openxmlformats-officedocument.drawingml.chart+xml"/>
  <Override PartName="/xl/charts/colors13.xml" ContentType="application/vnd.ms-office.chartcolorstyle+xml"/>
  <Override PartName="/xl/charts/colors14.xml" ContentType="application/vnd.ms-office.chartcolorstyle+xml"/>
  <Override PartName="/xl/drawings/drawing3.xml" ContentType="application/vnd.openxmlformats-officedocument.drawing+xml"/>
  <Override PartName="/xl/charts/style9.xml" ContentType="application/vnd.ms-office.chartstyle+xml"/>
  <Override PartName="/xl/charts/chart4.xml" ContentType="application/vnd.openxmlformats-officedocument.drawingml.chart+xml"/>
  <Override PartName="/xl/charts/colors15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ED-FIGS-5-6" sheetId="1" state="visible" r:id="rId1"/>
    <sheet name="ED-FIG-7" sheetId="2" state="visible" r:id="rId2"/>
    <sheet name="ED-FIG-8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<sst xmlns="http://schemas.openxmlformats.org/spreadsheetml/2006/main" count="49" uniqueCount="49">
  <si>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color=1</t>
  </si>
  <si>
    <t>color=2</t>
  </si>
  <si>
    <t>color=3</t>
  </si>
  <si>
    <t>color=4</t>
  </si>
  <si>
    <t>s=0</t>
  </si>
  <si>
    <t>s=1</t>
  </si>
  <si>
    <t>color-grid-1-rlim.eq.0.155-inov.eq.0.545-epsilon.eq.0.25</t>
  </si>
  <si>
    <t xml:space="preserve">i=0.545 / ϵ=0.25</t>
  </si>
  <si>
    <t>color-grid-1-rlim.eq.0.155-inov.eq.0.845-epsilon.eq.0.25</t>
  </si>
  <si>
    <t xml:space="preserve">i=0.845 / ϵ=0.25</t>
  </si>
  <si>
    <t>color-grid-1-rlim.eq.0.155-inov.eq.1.545-epsilon.eq.0.25</t>
  </si>
  <si>
    <t xml:space="preserve">i=1.545 / ϵ=0.25</t>
  </si>
  <si>
    <t>color-grid-1-rlim.eq.0.155-inov.eq.0.845-epsilon.eq.1.75</t>
  </si>
  <si>
    <t xml:space="preserve">i=0.845 / ϵ=1.75</t>
  </si>
  <si>
    <t>color-grid-1-nano-rlim.eq.0.155-inov.eq.0.545-epsilon.eq.0.25</t>
  </si>
  <si>
    <t>FSE</t>
  </si>
  <si>
    <t>color-grid-1-nano-rlim.eq.0.155-inov.eq.0.845-epsilon.eq.0.25</t>
  </si>
  <si>
    <t>color-grid-1-nano-rlim.eq.0.155-inov.eq.1.545-epsilon.eq.0.25</t>
  </si>
  <si>
    <t>color-grid-1-nano-rlim.eq.0.155-inov.eq.0.845-epsilon.eq.1.75</t>
  </si>
  <si>
    <t>color-grid-2-rlim.eq.0.155-inov.eq.0.545-epsilon.eq.0.25</t>
  </si>
  <si>
    <t>color-grid-2-rlim.eq.0.155-inov.eq.0.845-epsilon.eq.0.25</t>
  </si>
  <si>
    <t>color-grid-2-rlim.eq.0.155-inov.eq.1.545-epsilon.eq.0.25</t>
  </si>
  <si>
    <t>color-grid-2-rlim.eq.0.155-inov.eq.0.845-epsilon.eq.1.75</t>
  </si>
  <si>
    <t>color-grid-2-nano-rlim.eq.0.155-inov.eq.0.545-epsilon.eq.0.25</t>
  </si>
  <si>
    <t>color-grid-2-nano-rlim.eq.0.155-inov.eq.0.845-epsilon.eq.0.25</t>
  </si>
  <si>
    <t>color-grid-2-nano-rlim.eq.0.155-inov.eq.1.545-epsilon.eq.0.25</t>
  </si>
  <si>
    <t>color-grid-2-nano-rlim.eq.0.155-inov.eq.0.845-epsilon.eq.1.75</t>
  </si>
  <si>
    <t>color-grid-3-rlim.eq.0.155-inov.eq.0.545-epsilon.eq.0.25</t>
  </si>
  <si>
    <t>color-grid-3-rlim.eq.0.155-inov.eq.0.845-epsilon.eq.0.25</t>
  </si>
  <si>
    <t>color-grid-3-rlim.eq.0.155-inov.eq.1.545-epsilon.eq.0.25</t>
  </si>
  <si>
    <t>color-grid-3-rlim.eq.0.155-inov.eq.0.845-epsilon.eq.1.75</t>
  </si>
  <si>
    <t>color-grid-3-nano-rlim.eq.0.155-inov.eq.0.545-epsilon.eq.0.25</t>
  </si>
  <si>
    <t>color-grid-3-nano-rlim.eq.0.155-inov.eq.0.845-epsilon.eq.0.25</t>
  </si>
  <si>
    <t>color-grid-3-nano-rlim.eq.0.155-inov.eq.1.545-epsilon.eq.0.25</t>
  </si>
  <si>
    <t>color-grid-3-nano-rlim.eq.0.155-inov.eq.0.845-epsilon.eq.1.75</t>
  </si>
  <si>
    <t>color-grid-4-rlim.eq.0.155-inov.eq.0.545-epsilon.eq.0.25</t>
  </si>
  <si>
    <t>color-grid-4-rlim.eq.0.155-inov.eq.0.845-epsilon.eq.0.25</t>
  </si>
  <si>
    <t>color-grid-4-rlim.eq.0.155-inov.eq.1.545-epsilon.eq.0.25</t>
  </si>
  <si>
    <t>color-grid-4-rlim.eq.0.155-inov.eq.0.845-epsilon.eq.1.75</t>
  </si>
  <si>
    <t>color-grid-4-nano-rlim.eq.0.155-inov.eq.0.545-epsilon.eq.0.25</t>
  </si>
  <si>
    <t>color-grid-4-nano-rlim.eq.0.155-inov.eq.0.845-epsilon.eq.0.25</t>
  </si>
  <si>
    <t>color-grid-4-nano-rlim.eq.0.155-inov.eq.1.545-epsilon.eq.0.25</t>
  </si>
  <si>
    <t>color-grid-4-nano-rlim.eq.0.155-inov.eq.0.845-epsilon.eq.1.75</t>
  </si>
  <si>
    <t>rlim</t>
  </si>
  <si>
    <t>inov</t>
  </si>
  <si>
    <t>eps</t>
  </si>
  <si>
    <t xml:space="preserve">s = 0</t>
  </si>
  <si>
    <t xml:space="preserve">s = 1</t>
  </si>
  <si>
    <t xml:space="preserve"> FSE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</si>
</sst>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4">
    <font>
      <sz val="11.000000"/>
      <color theme="1"/>
      <name val="Calibri"/>
      <scheme val="minor"/>
    </font>
    <font>
      <sz val="11.000000"/>
      <color theme="1"/>
      <name val="Consolas"/>
    </font>
    <font>
      <b/>
      <sz val="11.000000"/>
      <color indexed="2"/>
      <name val="Consolas"/>
    </font>
    <font>
      <b/>
      <sz val="11.000000"/>
      <color rgb="FF1847BD"/>
      <name val="Consolas"/>
    </font>
    <font>
      <b/>
      <sz val="11.000000"/>
      <color theme="0" tint="-0.499984740745262"/>
      <name val="Consolas"/>
    </font>
    <font>
      <b/>
      <sz val="11.000000"/>
      <color theme="1"/>
      <name val="Consolas"/>
    </font>
    <font>
      <sz val="11.000000"/>
      <color indexed="2"/>
      <name val="Consolas"/>
    </font>
    <font>
      <sz val="11.000000"/>
      <color rgb="FF1847BD"/>
      <name val="Consolas"/>
    </font>
    <font>
      <sz val="11.000000"/>
      <color theme="0" tint="-0.499984740745262"/>
      <name val="Consolas"/>
    </font>
    <font>
      <sz val="11.000000"/>
      <color rgb="FF1847BD"/>
      <name val="Calibri"/>
      <scheme val="minor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1847BD"/>
      <name val="Calibri"/>
      <scheme val="minor"/>
    </font>
    <font>
      <b/>
      <sz val="11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6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1" fillId="2" borderId="1" numFmtId="0" xfId="0" applyFont="1" applyFill="1" applyBorder="1"/>
    <xf fontId="5" fillId="2" borderId="1" numFmtId="0" xfId="0" applyFont="1" applyFill="1" applyBorder="1" applyAlignment="1">
      <alignment horizontal="center"/>
    </xf>
    <xf fontId="6" fillId="2" borderId="1" numFmtId="2" xfId="0" applyNumberFormat="1" applyFont="1" applyFill="1" applyBorder="1"/>
    <xf fontId="7" fillId="2" borderId="1" numFmtId="2" xfId="0" applyNumberFormat="1" applyFont="1" applyFill="1" applyBorder="1"/>
    <xf fontId="8" fillId="2" borderId="1" numFmtId="2" xfId="0" applyNumberFormat="1" applyFont="1" applyFill="1" applyBorder="1"/>
    <xf fontId="1" fillId="2" borderId="1" numFmtId="2" xfId="0" applyNumberFormat="1" applyFont="1" applyFill="1" applyBorder="1"/>
    <xf fontId="5" fillId="2" borderId="1" numFmtId="0" xfId="0" applyFont="1" applyFill="1" applyBorder="1"/>
    <xf fontId="1" fillId="3" borderId="1" numFmtId="0" xfId="0" applyFont="1" applyFill="1" applyBorder="1"/>
    <xf fontId="5" fillId="3" borderId="1" numFmtId="0" xfId="0" applyFont="1" applyFill="1" applyBorder="1" applyAlignment="1">
      <alignment horizontal="center"/>
    </xf>
    <xf fontId="6" fillId="3" borderId="1" numFmtId="2" xfId="0" applyNumberFormat="1" applyFont="1" applyFill="1" applyBorder="1"/>
    <xf fontId="7" fillId="3" borderId="1" numFmtId="2" xfId="0" applyNumberFormat="1" applyFont="1" applyFill="1" applyBorder="1"/>
    <xf fontId="8" fillId="3" borderId="1" numFmtId="2" xfId="0" applyNumberFormat="1" applyFont="1" applyFill="1" applyBorder="1"/>
    <xf fontId="1" fillId="3" borderId="1" numFmtId="2" xfId="0" applyNumberFormat="1" applyFont="1" applyFill="1" applyBorder="1"/>
    <xf fontId="5" fillId="3" borderId="1" numFmtId="0" xfId="0" applyFont="1" applyFill="1" applyBorder="1"/>
    <xf fontId="5" fillId="3" borderId="2" numFmtId="0" xfId="0" applyFont="1" applyFill="1" applyBorder="1"/>
    <xf fontId="5" fillId="3" borderId="2" numFmtId="0" xfId="0" applyFont="1" applyFill="1" applyBorder="1" applyAlignment="1">
      <alignment horizontal="center"/>
    </xf>
    <xf fontId="6" fillId="3" borderId="2" numFmtId="2" xfId="0" applyNumberFormat="1" applyFont="1" applyFill="1" applyBorder="1"/>
    <xf fontId="7" fillId="3" borderId="2" numFmtId="2" xfId="0" applyNumberFormat="1" applyFont="1" applyFill="1" applyBorder="1"/>
    <xf fontId="8" fillId="3" borderId="2" numFmtId="2" xfId="0" applyNumberFormat="1" applyFont="1" applyFill="1" applyBorder="1"/>
    <xf fontId="1" fillId="3" borderId="2" numFmtId="2" xfId="0" applyNumberFormat="1" applyFont="1" applyFill="1" applyBorder="1"/>
    <xf fontId="0" fillId="0" borderId="0" numFmtId="0" xfId="0" applyAlignment="1">
      <alignment horizontal="center"/>
    </xf>
    <xf fontId="9" fillId="0" borderId="0" numFmtId="0" xfId="0" applyFont="1"/>
    <xf fontId="10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0" fillId="0" borderId="1" numFmtId="0" xfId="0" applyBorder="1"/>
    <xf fontId="11" fillId="0" borderId="1" numFmtId="0" xfId="0" applyFont="1" applyBorder="1" applyAlignment="1">
      <alignment horizontal="center"/>
    </xf>
    <xf fontId="0" fillId="0" borderId="1" numFmtId="0" xfId="0" applyBorder="1" applyAlignment="1">
      <alignment horizontal="center"/>
    </xf>
    <xf fontId="12" fillId="0" borderId="1" numFmtId="0" xfId="0" applyFont="1" applyBorder="1" applyAlignment="1">
      <alignment horizontal="center"/>
    </xf>
    <xf fontId="13" fillId="0" borderId="1" numFmtId="0" xfId="0" applyFont="1" applyBorder="1" applyAlignment="1">
      <alignment horizontal="center"/>
    </xf>
    <xf fontId="0" fillId="0" borderId="1" numFmtId="164" xfId="0" applyNumberFormat="1" applyBorder="1" applyAlignment="1">
      <alignment horizontal="center"/>
    </xf>
    <xf fontId="9" fillId="0" borderId="1" numFmtId="0" xfId="0" applyFont="1" applyBorder="1"/>
    <xf fontId="10" fillId="0" borderId="1" numFmtId="0" xfId="0" applyFont="1" applyBorder="1" applyAlignment="1">
      <alignment horizontal="center"/>
    </xf>
    <xf fontId="9" fillId="0" borderId="1" numFmtId="0" xfId="0" applyFont="1" applyBorder="1" applyAlignment="1">
      <alignment horizontal="center"/>
    </xf>
    <xf fontId="0" fillId="0" borderId="1" numFmtId="0" xfId="0" applyBorder="1" applyAlignment="1">
      <alignment horizontal="center"/>
    </xf>
    <xf fontId="0" fillId="0" borderId="0" numFmtId="165" xfId="0" applyNumberFormat="1" applyAlignment="1">
      <alignment horizontal="center"/>
    </xf>
    <xf fontId="9" fillId="0" borderId="0" numFmtId="1" xfId="0" applyNumberFormat="1" applyFont="1" applyAlignment="1">
      <alignment horizontal="center"/>
    </xf>
    <xf fontId="0" fillId="0" borderId="0" numFmtId="164" xfId="0" applyNumberFormat="1" applyAlignment="1">
      <alignment horizontal="center"/>
    </xf>
    <xf fontId="0" fillId="0" borderId="0" numFmtId="0" xfId="0" applyAlignment="1">
      <alignment horizontal="center"/>
    </xf>
    <xf fontId="0" fillId="0" borderId="0" numFmtId="165" xfId="0" applyNumberFormat="1" applyAlignment="1">
      <alignment horizontal="right"/>
    </xf>
    <xf fontId="9" fillId="0" borderId="0" numFmtId="1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<?xml version="1.0" encoding="UTF-8" standalone="yes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<?xml version="1.0" encoding="UTF-8" standalone="yes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<?xml version="1.0" encoding="UTF-8" standalone="yes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<?xml version="1.0" encoding="UTF-8" standalone="yes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<?xml version="1.0" encoding="UTF-8" standalone="yes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<?xml version="1.0" encoding="UTF-8" standalone="yes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'ED-FIGS-5-6'!$C$3:$F$3</c:f>
              <c:numCache>
                <c:formatCode>0.00</c:formatCode>
                <c:ptCount val="4"/>
                <c:pt idx="0">
                  <c:v>26.085677874718165</c:v>
                </c:pt>
                <c:pt idx="1">
                  <c:v>26.41897853151652</c:v>
                </c:pt>
                <c:pt idx="2">
                  <c:v>46.66209195176943</c:v>
                </c:pt>
                <c:pt idx="3">
                  <c:v>0.8332516419958828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544828"/>
      <a:ext cx="3676648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230"/>
          <c:y val="0.089530"/>
          <c:w val="0.694690"/>
          <c:h val="0.868360"/>
        </c:manualLayout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>
                <c:manualLayout>
                  <c:x val="-0.031080"/>
                  <c:y val="-0.00647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elete val="1"/>
              <c:layout/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'ED-FIGS-5-6'!$C$11:$F$11</c:f>
              <c:numCache>
                <c:formatCode>0.00</c:formatCode>
                <c:ptCount val="4"/>
                <c:pt idx="0">
                  <c:v>25.968042348789332</c:v>
                </c:pt>
                <c:pt idx="1">
                  <c:v>0.9802960494069208</c:v>
                </c:pt>
                <c:pt idx="2">
                  <c:v>0.009802960494069209</c:v>
                </c:pt>
                <c:pt idx="3">
                  <c:v>73.04185864130967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3676648" y="544828"/>
      <a:ext cx="3676648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'ED-FIGS-5-6'!$C$19:$F$19</c:f>
              <c:numCache>
                <c:formatCode>0.00</c:formatCode>
                <c:ptCount val="4"/>
                <c:pt idx="0">
                  <c:v>33.143809430447995</c:v>
                </c:pt>
                <c:pt idx="1">
                  <c:v>32.59484364278012</c:v>
                </c:pt>
                <c:pt idx="2">
                  <c:v>33.428095284776006</c:v>
                </c:pt>
                <c:pt idx="3">
                  <c:v>0.8332516419958828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3486150"/>
      <a:ext cx="3676648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elete val="1"/>
              <c:layout/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'ED-FIGS-5-6'!$C$27:$F$27</c:f>
              <c:numCache>
                <c:formatCode>0.00</c:formatCode>
                <c:ptCount val="4"/>
                <c:pt idx="0">
                  <c:v>55.31810606803255</c:v>
                </c:pt>
                <c:pt idx="1">
                  <c:v>0.9802960494069208</c:v>
                </c:pt>
                <c:pt idx="2">
                  <c:v>0.009802960494069209</c:v>
                </c:pt>
                <c:pt idx="3">
                  <c:v>43.691794922066464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3666170" y="3486150"/>
      <a:ext cx="3676646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'ED-FIGS-5-6'!$C$7:$F$7</c:f>
              <c:numCache>
                <c:formatCode>0.00</c:formatCode>
                <c:ptCount val="4"/>
                <c:pt idx="0">
                  <c:v>24.3897657092441</c:v>
                </c:pt>
                <c:pt idx="1">
                  <c:v>28.467797274776984</c:v>
                </c:pt>
                <c:pt idx="2">
                  <c:v>38.427605136751296</c:v>
                </c:pt>
                <c:pt idx="3">
                  <c:v>8.714831879227527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7986710" y="544828"/>
      <a:ext cx="3676648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230"/>
          <c:y val="0.089530"/>
          <c:w val="0.694690"/>
          <c:h val="0.868360"/>
        </c:manualLayout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>
                <c:manualLayout>
                  <c:x val="-0.007770"/>
                  <c:y val="-0.003230"/>
                </c:manualLayout>
              </c:layout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elete val="1"/>
              <c:layout/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'ED-FIGS-5-6'!$C$15:$F$15</c:f>
              <c:numCache>
                <c:formatCode>0.00</c:formatCode>
                <c:ptCount val="4"/>
                <c:pt idx="0">
                  <c:v>25.968042348789332</c:v>
                </c:pt>
                <c:pt idx="1">
                  <c:v>0.9802960494069208</c:v>
                </c:pt>
                <c:pt idx="2">
                  <c:v>0.009802960494069209</c:v>
                </c:pt>
                <c:pt idx="3">
                  <c:v>73.04185864130967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1663361" y="544828"/>
      <a:ext cx="3676646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'ED-FIGS-5-6'!$C$23:$F$23</c:f>
              <c:numCache>
                <c:formatCode>0.00</c:formatCode>
                <c:ptCount val="4"/>
                <c:pt idx="0">
                  <c:v>31.6145475933732</c:v>
                </c:pt>
                <c:pt idx="1">
                  <c:v>34.486815018135474</c:v>
                </c:pt>
                <c:pt idx="2">
                  <c:v>32.565434761297915</c:v>
                </c:pt>
                <c:pt idx="3">
                  <c:v>1.3332026271934125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7986710" y="3486150"/>
      <a:ext cx="3676646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FF0000"/>
              </a:solidFill>
              <a:ln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1847BD"/>
              </a:solidFill>
              <a:ln>
                <a:noFill/>
              </a:ln>
            </c:spPr>
          </c:dPt>
          <c:dPt>
            <c:idx val="2"/>
            <c:spPr bwMode="auto"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</c:dPt>
          <c:dPt>
            <c:idx val="3"/>
            <c:spPr bwMode="auto">
              <a:prstGeom prst="rect">
                <a:avLst/>
              </a:prstGeom>
              <a:solidFill>
                <a:schemeClr val="tx1"/>
              </a:solidFill>
              <a:ln>
                <a:noFill/>
              </a:ln>
            </c:spPr>
          </c:dPt>
          <c:dLbls>
            <c:dLbl>
              <c:idx val="0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1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3"/>
              <c:dLblPos val="inEnd"/>
              <c:layout/>
              <c:showBubbleSize val="0"/>
              <c:showCatName val="0"/>
              <c:showLegendKey val="0"/>
              <c:showPercent val="1"/>
              <c:showSerName val="0"/>
              <c:showVal val="0"/>
              <c:spPr bwMode="auto">
                <a:prstGeom prst="rect">
                  <a:avLst/>
                </a:prstGeom>
                <a:noFill/>
                <a:ln>
                  <a:noFill/>
                </a:ln>
              </c:spPr>
              <c:txPr>
                <a:bodyPr/>
                <a:p>
                  <a:pPr>
                    <a:defRPr sz="1100" b="1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/>
                </a:p>
              </c:txPr>
            </c:dLbl>
            <c:dLbl>
              <c:idx val="2"/>
              <c:delete val="1"/>
              <c:layout/>
            </c:dLbl>
            <c:dLblPos val="inEnd"/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1100" b="1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val>
            <c:numRef>
              <c:f>'ED-FIGS-5-6'!$C$31:$F$31</c:f>
              <c:numCache>
                <c:formatCode>0.00</c:formatCode>
                <c:ptCount val="4"/>
                <c:pt idx="0">
                  <c:v>49.59317713949613</c:v>
                </c:pt>
                <c:pt idx="1">
                  <c:v>6.705224977943339</c:v>
                </c:pt>
                <c:pt idx="2">
                  <c:v>0.009802960494069209</c:v>
                </c:pt>
                <c:pt idx="3">
                  <c:v>43.691794922066464</c:v>
                </c:pt>
              </c:numCache>
            </c:numRef>
          </c:val>
        </c:ser>
        <c:dLbls>
          <c:dLblPos val="inEnd"/>
          <c:showBubbleSize val="0"/>
          <c:showCatName val="0"/>
          <c:showLeaderLines val="1"/>
          <c:showLegendKey val="0"/>
          <c:showPercent val="1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firstSliceAng val="0"/>
      </c:pieChart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025000"/>
          <c:y val="0.014520"/>
          <c:w val="0.315620"/>
          <c:h val="0.06639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1663361" y="3486150"/>
      <a:ext cx="3676646" cy="294131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'ED-FIG-7'!$F$60:$F$63</c:f>
              <c:numCache>
                <c:formatCode>0.0</c:formatCode>
                <c:ptCount val="4"/>
                <c:pt idx="0">
                  <c:v>0</c:v>
                </c:pt>
                <c:pt idx="1">
                  <c:v>0.545</c:v>
                </c:pt>
                <c:pt idx="2">
                  <c:v>0.845</c:v>
                </c:pt>
                <c:pt idx="3">
                  <c:v>1.545</c:v>
                </c:pt>
              </c:numCache>
            </c:numRef>
          </c:xVal>
          <c:yVal>
            <c:numRef>
              <c:f>'ED-FIG-7'!$G$60:$G$63</c:f>
              <c:numCache>
                <c:formatCode>0</c:formatCode>
                <c:ptCount val="4"/>
                <c:pt idx="0">
                  <c:v>15.842</c:v>
                </c:pt>
                <c:pt idx="1">
                  <c:v>20.204</c:v>
                </c:pt>
                <c:pt idx="2">
                  <c:v>52.504999999999995</c:v>
                </c:pt>
                <c:pt idx="3">
                  <c:v>75.551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37"/>
        <c:axId val="2140843238"/>
      </c:scatterChart>
      <c:valAx>
        <c:axId val="214084323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38"/>
        <c:crosses val="autoZero"/>
        <c:crossBetween val="between"/>
      </c:valAx>
      <c:valAx>
        <c:axId val="2140843238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3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7301863" y="10791823"/>
      <a:ext cx="2752723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'ED-FIG-7'!$F$68:$F$71</c:f>
              <c:numCache>
                <c:formatCode>0.0</c:formatCode>
                <c:ptCount val="4"/>
                <c:pt idx="0">
                  <c:v>0</c:v>
                </c:pt>
                <c:pt idx="1">
                  <c:v>0.545</c:v>
                </c:pt>
                <c:pt idx="2">
                  <c:v>0.845</c:v>
                </c:pt>
                <c:pt idx="3">
                  <c:v>1.545</c:v>
                </c:pt>
              </c:numCache>
            </c:numRef>
          </c:xVal>
          <c:yVal>
            <c:numRef>
              <c:f>'ED-FIG-7'!$G$68:$G$71</c:f>
              <c:numCache>
                <c:formatCode>0</c:formatCode>
                <c:ptCount val="4"/>
                <c:pt idx="0">
                  <c:v>15.842</c:v>
                </c:pt>
                <c:pt idx="1">
                  <c:v>22.468</c:v>
                </c:pt>
                <c:pt idx="2">
                  <c:v>26.948</c:v>
                </c:pt>
                <c:pt idx="3">
                  <c:v>32.634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39"/>
        <c:axId val="2140843240"/>
      </c:scatterChart>
      <c:valAx>
        <c:axId val="214084323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40"/>
        <c:crosses val="autoZero"/>
        <c:crossBetween val="between"/>
      </c:valAx>
      <c:valAx>
        <c:axId val="2140843240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3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0058398" y="10791823"/>
      <a:ext cx="2752723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'ED-FIG-7'!$F$60:$F$63</c:f>
              <c:numCache>
                <c:formatCode>0.0</c:formatCode>
                <c:ptCount val="4"/>
                <c:pt idx="0">
                  <c:v>0</c:v>
                </c:pt>
                <c:pt idx="1">
                  <c:v>0.545</c:v>
                </c:pt>
                <c:pt idx="2">
                  <c:v>0.845</c:v>
                </c:pt>
                <c:pt idx="3">
                  <c:v>1.545</c:v>
                </c:pt>
              </c:numCache>
            </c:numRef>
          </c:xVal>
          <c:yVal>
            <c:numRef>
              <c:f>'ED-FIG-7'!$G$76:$G$79</c:f>
              <c:numCache>
                <c:formatCode>0</c:formatCode>
                <c:ptCount val="4"/>
                <c:pt idx="0">
                  <c:v>15.842</c:v>
                </c:pt>
                <c:pt idx="1">
                  <c:v>24.752000000000002</c:v>
                </c:pt>
                <c:pt idx="2">
                  <c:v>65.739</c:v>
                </c:pt>
                <c:pt idx="3">
                  <c:v>90.452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41"/>
        <c:axId val="2140843242"/>
      </c:scatterChart>
      <c:valAx>
        <c:axId val="214084324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42"/>
        <c:crosses val="autoZero"/>
        <c:crossBetween val="between"/>
      </c:valAx>
      <c:valAx>
        <c:axId val="2140843242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4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7315198" y="13525498"/>
      <a:ext cx="2752723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'ED-FIG-7'!$F$68:$F$71</c:f>
              <c:numCache>
                <c:formatCode>0.0</c:formatCode>
                <c:ptCount val="4"/>
                <c:pt idx="0">
                  <c:v>0</c:v>
                </c:pt>
                <c:pt idx="1">
                  <c:v>0.545</c:v>
                </c:pt>
                <c:pt idx="2">
                  <c:v>0.845</c:v>
                </c:pt>
                <c:pt idx="3">
                  <c:v>1.545</c:v>
                </c:pt>
              </c:numCache>
            </c:numRef>
          </c:xVal>
          <c:yVal>
            <c:numRef>
              <c:f>'ED-FIG-7'!$G$84:$G$87</c:f>
              <c:numCache>
                <c:formatCode>0</c:formatCode>
                <c:ptCount val="4"/>
                <c:pt idx="0">
                  <c:v>15.842</c:v>
                </c:pt>
                <c:pt idx="1">
                  <c:v>47.730999999999995</c:v>
                </c:pt>
                <c:pt idx="2">
                  <c:v>56.297999999999995</c:v>
                </c:pt>
                <c:pt idx="3">
                  <c:v>62.052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43"/>
        <c:axId val="2140843244"/>
      </c:scatterChart>
      <c:valAx>
        <c:axId val="214084324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44"/>
        <c:crosses val="autoZero"/>
        <c:crossBetween val="between"/>
      </c:valAx>
      <c:valAx>
        <c:axId val="2140843244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4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0071732" y="13525498"/>
      <a:ext cx="2752722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'ED-FIG-8'!$H$61:$H$64</c:f>
              <c:numCache>
                <c:formatCode>0.0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1.75</c:v>
                </c:pt>
              </c:numCache>
            </c:numRef>
          </c:xVal>
          <c:yVal>
            <c:numRef>
              <c:f>'ED-FIG-8'!$I$61:$I$64</c:f>
              <c:numCache>
                <c:formatCode>0</c:formatCode>
                <c:ptCount val="4"/>
                <c:pt idx="0">
                  <c:v>38.016</c:v>
                </c:pt>
                <c:pt idx="1">
                  <c:v>52.504999999999995</c:v>
                </c:pt>
                <c:pt idx="2">
                  <c:v>63.612</c:v>
                </c:pt>
                <c:pt idx="3">
                  <c:v>84.6</c:v>
                </c:pt>
              </c:numCache>
            </c:numRef>
          </c:yVal>
          <c:smooth val="0"/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2140843253"/>
        <c:axId val="2140843254"/>
      </c:scatterChart>
      <c:valAx>
        <c:axId val="214084325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4"/>
        <c:crosses val="autoZero"/>
        <c:crossBetween val="between"/>
      </c:valAx>
      <c:valAx>
        <c:axId val="214084325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7301863" y="10791823"/>
      <a:ext cx="2752723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'ED-FIG-8'!$H$69:$H$72</c:f>
              <c:numCache>
                <c:formatCode>0.0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1.75</c:v>
                </c:pt>
              </c:numCache>
            </c:numRef>
          </c:xVal>
          <c:yVal>
            <c:numRef>
              <c:f>'ED-FIG-8'!$I$69:$I$72</c:f>
              <c:numCache>
                <c:formatCode>0</c:formatCode>
                <c:ptCount val="4"/>
                <c:pt idx="0">
                  <c:v>20.811</c:v>
                </c:pt>
                <c:pt idx="1">
                  <c:v>26.948</c:v>
                </c:pt>
                <c:pt idx="2">
                  <c:v>35.79</c:v>
                </c:pt>
                <c:pt idx="3">
                  <c:v>62.15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55"/>
        <c:axId val="2140843256"/>
      </c:scatterChart>
      <c:valAx>
        <c:axId val="214084325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6"/>
        <c:crosses val="autoZero"/>
        <c:crossBetween val="between"/>
      </c:valAx>
      <c:valAx>
        <c:axId val="2140843256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0058398" y="10791823"/>
      <a:ext cx="2752723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'ED-FIG-8'!$H$61:$H$64</c:f>
              <c:numCache>
                <c:formatCode>0.0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1.75</c:v>
                </c:pt>
              </c:numCache>
            </c:numRef>
          </c:xVal>
          <c:yVal>
            <c:numRef>
              <c:f>'ED-FIG-8'!$I$77:$I$80</c:f>
              <c:numCache>
                <c:formatCode>0</c:formatCode>
                <c:ptCount val="4"/>
                <c:pt idx="0">
                  <c:v>23.096</c:v>
                </c:pt>
                <c:pt idx="1">
                  <c:v>33.144</c:v>
                </c:pt>
                <c:pt idx="2">
                  <c:v>46.27</c:v>
                </c:pt>
                <c:pt idx="3">
                  <c:v>76.6</c:v>
                </c:pt>
              </c:numCache>
            </c:numRef>
          </c:yVal>
          <c:smooth val="0"/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2140843257"/>
        <c:axId val="2140843258"/>
      </c:scatterChart>
      <c:valAx>
        <c:axId val="214084325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8"/>
        <c:crosses val="autoZero"/>
        <c:crossBetween val="between"/>
      </c:valAx>
      <c:valAx>
        <c:axId val="214084325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7305673" y="13519783"/>
      <a:ext cx="2752723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740"/>
          <c:y val="0.060940"/>
          <c:w val="0.790220"/>
          <c:h val="0.778680"/>
        </c:manualLayout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 cap="rnd">
              <a:solidFill>
                <a:schemeClr val="accent1"/>
              </a:solidFill>
              <a:round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1847BD"/>
              </a:solidFill>
              <a:ln/>
            </c:spPr>
          </c:marker>
          <c:xVal>
            <c:numRef>
              <c:f>'ED-FIG-8'!$H$85:$H$88</c:f>
              <c:numCache>
                <c:formatCode>0.0</c:formatCode>
                <c:ptCount val="4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1.75</c:v>
                </c:pt>
              </c:numCache>
            </c:numRef>
          </c:xVal>
          <c:yVal>
            <c:numRef>
              <c:f>'ED-FIG-8'!$I$85:$I$88</c:f>
              <c:numCache>
                <c:formatCode>0</c:formatCode>
                <c:ptCount val="4"/>
                <c:pt idx="0">
                  <c:v>45.368</c:v>
                </c:pt>
                <c:pt idx="1">
                  <c:v>55.318</c:v>
                </c:pt>
                <c:pt idx="2">
                  <c:v>62.014</c:v>
                </c:pt>
                <c:pt idx="3">
                  <c:v>71.709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3259"/>
        <c:axId val="2140843260"/>
      </c:scatterChart>
      <c:valAx>
        <c:axId val="214084325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60"/>
        <c:crosses val="autoZero"/>
        <c:crossBetween val="between"/>
      </c:valAx>
      <c:valAx>
        <c:axId val="2140843260"/>
        <c:scaling>
          <c:orientation val="minMax"/>
          <c:max val="9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1200" b="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325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 flipH="0" flipV="0">
      <a:off x="10062207" y="13519783"/>
      <a:ext cx="2752722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tx2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cap="all" spc="47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6"/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1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Relationship Id="rId2" Type="http://schemas.openxmlformats.org/officeDocument/2006/relationships/chart" Target="../charts/chart10.xml" /><Relationship Id="rId3" Type="http://schemas.openxmlformats.org/officeDocument/2006/relationships/chart" Target="../charts/chart11.xml" /><Relationship Id="rId4" Type="http://schemas.openxmlformats.org/officeDocument/2006/relationships/chart" Target="../charts/chart1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 /><Relationship Id="rId2" Type="http://schemas.openxmlformats.org/officeDocument/2006/relationships/chart" Target="../charts/chart14.xml" /><Relationship Id="rId3" Type="http://schemas.openxmlformats.org/officeDocument/2006/relationships/chart" Target="../charts/chart15.xml" /><Relationship Id="rId4" Type="http://schemas.openxmlformats.org/officeDocument/2006/relationships/chart" Target="../charts/char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994402</xdr:colOff>
      <xdr:row>35</xdr:row>
      <xdr:rowOff>182875</xdr:rowOff>
    </xdr:from>
    <xdr:to>
      <xdr:col>11</xdr:col>
      <xdr:colOff>80281</xdr:colOff>
      <xdr:row>37</xdr:row>
      <xdr:rowOff>166765</xdr:rowOff>
    </xdr:to>
    <xdr:sp>
      <xdr:nvSpPr>
        <xdr:cNvPr id="1398558377" name=""/>
        <xdr:cNvSpPr/>
      </xdr:nvSpPr>
      <xdr:spPr bwMode="auto">
        <a:xfrm>
          <a:off x="6633202" y="6583675"/>
          <a:ext cx="3017799" cy="349650"/>
        </a:xfrm>
        <a:prstGeom prst="rect">
          <a:avLst/>
        </a:prstGeom>
        <a:noFill/>
        <a:ln>
          <a:noFill/>
        </a:ln>
      </xdr:spPr>
      <xdr:txBody>
        <a:bodyPr rot="0" spcFirstLastPara="0" vertOverflow="overflow" horzOverflow="overflow" vert="horz" wrap="none" lIns="91440" tIns="45720" rIns="91440" bIns="45720" numCol="1" spcCol="0" rtlCol="0" fromWordArt="0" anchor="t" anchorCtr="0" forceAA="0" upright="0" compatLnSpc="1">
          <a:prstTxWarp prst="textNoShape"/>
          <a:spAutoFit/>
        </a:bodyPr>
        <a:p>
          <a:pPr algn="ctr">
            <a:defRPr/>
          </a:pPr>
          <mc:AlternateContent xmlns:mc="http://schemas.openxmlformats.org/markup-compatibility/2006" xmlns:m="http://schemas.openxmlformats.org/officeDocument/2006/math">
            <mc:Choice xmlns:a14="http://schemas.microsoft.com/office/drawing/2010/main" Requires="a14">
              <a14:m>
                <m:oMathPara>
                  <m:oMathParaPr/>
                  <m:oMath>
                    <m:sSub>
                      <m:sSubPr>
                        <m:ctrlPr>
                          <a:rPr sz="1600" i="1">
                            <a:latin typeface="Cambria Math"/>
                            <a:ea typeface="Cambria Math"/>
                            <a:cs typeface="Cambria Math"/>
                          </a:rPr>
                        </m:ctrlPr>
                      </m:sSubPr>
                      <m:e>
                        <m:r>
                          <m:rPr>
                            <m:sty m:val="i"/>
                          </m:rPr>
                          <a:rPr sz="1600">
                            <a:latin typeface="Cambria Math"/>
                            <a:ea typeface="Cambria Math"/>
                            <a:cs typeface="Cambria Math"/>
                          </a:rPr>
                          <m:t>r</m:t>
                        </m:r>
                      </m:e>
                      <m:sub>
                        <m:r>
                          <m:rPr>
                            <m:sty m:val="i"/>
                          </m:rPr>
                          <a:rPr sz="1600">
                            <a:latin typeface="Cambria Math"/>
                            <a:ea typeface="Cambria Math"/>
                            <a:cs typeface="Cambria Math"/>
                          </a:rPr>
                          <m:t>lim</m:t>
                        </m:r>
                      </m:sub>
                    </m:sSub>
                    <m:r>
                      <m:rPr/>
                      <a:rPr sz="1600">
                        <a:latin typeface="Cambria Math"/>
                        <a:ea typeface="Cambria Math"/>
                        <a:cs typeface="Cambria Math"/>
                      </a:rPr>
                      <m:t>=0.155, i=0.845 , </m:t>
                    </m:r>
                    <m:r>
                      <m:rPr>
                        <m:sty m:val="i"/>
                      </m:rPr>
                      <a:rPr sz="1600">
                        <a:latin typeface="Cambria Math"/>
                        <a:ea typeface="Cambria Math"/>
                        <a:cs typeface="Cambria Math"/>
                      </a:rPr>
                      <m:t>ϵ=0.25</m:t>
                    </m:r>
                  </m:oMath>
                </m:oMathPara>
              </a14:m>
            </mc:Choice>
            <mc:Fallback/>
          </mc:AlternateContent>
          <a:endParaRPr sz="1600">
            <a:latin typeface="Cambria Math"/>
            <a:ea typeface="Cambria Math"/>
            <a:cs typeface="Cambria Math"/>
          </a:endParaRPr>
        </a:p>
      </xdr:txBody>
    </xdr:sp>
    <xdr:clientData/>
  </xdr:twoCellAnchor>
  <xdr:twoCellAnchor editAs="twoCell">
    <xdr:from>
      <xdr:col>1</xdr:col>
      <xdr:colOff>398143</xdr:colOff>
      <xdr:row>39</xdr:row>
      <xdr:rowOff>1903</xdr:rowOff>
    </xdr:from>
    <xdr:to>
      <xdr:col>21</xdr:col>
      <xdr:colOff>71434</xdr:colOff>
      <xdr:row>74</xdr:row>
      <xdr:rowOff>28572</xdr:rowOff>
    </xdr:to>
    <xdr:grpSp>
      <xdr:nvGrpSpPr>
        <xdr:cNvPr id="0" name=""/>
        <xdr:cNvGrpSpPr/>
      </xdr:nvGrpSpPr>
      <xdr:grpSpPr bwMode="auto">
        <a:xfrm>
          <a:off x="5259703" y="7134223"/>
          <a:ext cx="15340010" cy="6427468"/>
          <a:chOff x="0" y="0"/>
          <a:chExt cx="15340009" cy="6427467"/>
        </a:xfrm>
      </xdr:grpSpPr>
      <xdr:graphicFrame>
        <xdr:nvGraphicFramePr>
          <xdr:cNvPr id="1124295763" name=""/>
          <xdr:cNvGraphicFramePr>
            <a:graphicFrameLocks xmlns:a="http://schemas.openxmlformats.org/drawingml/2006/main"/>
          </xdr:cNvGraphicFramePr>
        </xdr:nvGraphicFramePr>
        <xdr:xfrm rot="0">
          <a:off x="0" y="544828"/>
          <a:ext cx="3676648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>
        <xdr:nvGraphicFramePr>
          <xdr:cNvPr id="2021953175" name=""/>
          <xdr:cNvGraphicFramePr>
            <a:graphicFrameLocks xmlns:a="http://schemas.openxmlformats.org/drawingml/2006/main"/>
          </xdr:cNvGraphicFramePr>
        </xdr:nvGraphicFramePr>
        <xdr:xfrm rot="0">
          <a:off x="3676648" y="544828"/>
          <a:ext cx="3676648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>
        <xdr:nvGraphicFramePr>
          <xdr:cNvPr id="68659839" name=""/>
          <xdr:cNvGraphicFramePr>
            <a:graphicFrameLocks xmlns:a="http://schemas.openxmlformats.org/drawingml/2006/main"/>
          </xdr:cNvGraphicFramePr>
        </xdr:nvGraphicFramePr>
        <xdr:xfrm rot="0">
          <a:off x="0" y="3486150"/>
          <a:ext cx="3676648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>
        <xdr:nvGraphicFramePr>
          <xdr:cNvPr id="539958201" name=""/>
          <xdr:cNvGraphicFramePr>
            <a:graphicFrameLocks xmlns:a="http://schemas.openxmlformats.org/drawingml/2006/main"/>
          </xdr:cNvGraphicFramePr>
        </xdr:nvGraphicFramePr>
        <xdr:xfrm rot="0">
          <a:off x="3666170" y="3486150"/>
          <a:ext cx="3676646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>
        <xdr:nvSpPr>
          <xdr:cNvPr id="2066506349" name=""/>
          <xdr:cNvSpPr txBox="1"/>
        </xdr:nvSpPr>
        <xdr:spPr bwMode="auto">
          <a:xfrm flipH="0" flipV="0">
            <a:off x="1152522" y="0"/>
            <a:ext cx="1419223" cy="449578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style>
          <a:lnRef idx="0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overflow" vert="horz" wrap="square" lIns="91440" tIns="45720" rIns="91440" bIns="45720" numCol="1" spcCol="0" rtlCol="0" fromWordArt="0" anchor="t" anchorCtr="0" forceAA="0" upright="0" compatLnSpc="0"/>
          <a:p>
            <a:pPr>
              <a:defRPr/>
            </a:pPr>
            <a:r>
              <a:rPr sz="2000" b="1"/>
              <a:t>A</a:t>
            </a:r>
            <a:r>
              <a:rPr sz="2000"/>
              <a:t>-scenario</a:t>
            </a:r>
            <a:endParaRPr sz="2000"/>
          </a:p>
        </xdr:txBody>
      </xdr:sp>
      <xdr:sp>
        <xdr:nvSpPr>
          <xdr:cNvPr id="247975225" name=""/>
          <xdr:cNvSpPr txBox="1"/>
        </xdr:nvSpPr>
        <xdr:spPr bwMode="auto">
          <a:xfrm flipH="0" flipV="0">
            <a:off x="4815836" y="0"/>
            <a:ext cx="1419223" cy="449578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style>
          <a:lnRef idx="0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overflow" vert="horz" wrap="square" lIns="91440" tIns="45720" rIns="91440" bIns="45720" numCol="1" spcCol="0" rtlCol="0" fromWordArt="0" anchor="t" anchorCtr="0" forceAA="0" upright="0" compatLnSpc="0"/>
          <a:p>
            <a:pPr>
              <a:defRPr/>
            </a:pPr>
            <a:r>
              <a:rPr sz="2000" b="1"/>
              <a:t>B</a:t>
            </a:r>
            <a:r>
              <a:rPr sz="2000"/>
              <a:t>-scenario</a:t>
            </a:r>
            <a:endParaRPr sz="2000"/>
          </a:p>
        </xdr:txBody>
      </xdr:sp>
      <xdr:graphicFrame>
        <xdr:nvGraphicFramePr>
          <xdr:cNvPr id="421603450" name=""/>
          <xdr:cNvGraphicFramePr>
            <a:graphicFrameLocks xmlns:a="http://schemas.openxmlformats.org/drawingml/2006/main"/>
          </xdr:cNvGraphicFramePr>
        </xdr:nvGraphicFramePr>
        <xdr:xfrm rot="0">
          <a:off x="7986710" y="544828"/>
          <a:ext cx="3676648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92934265" name=""/>
          <xdr:cNvGraphicFramePr>
            <a:graphicFrameLocks xmlns:a="http://schemas.openxmlformats.org/drawingml/2006/main"/>
          </xdr:cNvGraphicFramePr>
        </xdr:nvGraphicFramePr>
        <xdr:xfrm rot="0">
          <a:off x="11663361" y="544828"/>
          <a:ext cx="3676646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>
        <xdr:nvGraphicFramePr>
          <xdr:cNvPr id="18126139" name=""/>
          <xdr:cNvGraphicFramePr>
            <a:graphicFrameLocks xmlns:a="http://schemas.openxmlformats.org/drawingml/2006/main"/>
          </xdr:cNvGraphicFramePr>
        </xdr:nvGraphicFramePr>
        <xdr:xfrm rot="0">
          <a:off x="7986710" y="3486150"/>
          <a:ext cx="3676646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>
        <xdr:nvGraphicFramePr>
          <xdr:cNvPr id="1080050313" name=""/>
          <xdr:cNvGraphicFramePr>
            <a:graphicFrameLocks xmlns:a="http://schemas.openxmlformats.org/drawingml/2006/main"/>
          </xdr:cNvGraphicFramePr>
        </xdr:nvGraphicFramePr>
        <xdr:xfrm rot="0">
          <a:off x="11663361" y="3486150"/>
          <a:ext cx="3676646" cy="29413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>
        <xdr:nvSpPr>
          <xdr:cNvPr id="1220359346" name=""/>
          <xdr:cNvSpPr txBox="1"/>
        </xdr:nvSpPr>
        <xdr:spPr bwMode="auto">
          <a:xfrm flipH="0" flipV="0">
            <a:off x="9149715" y="0"/>
            <a:ext cx="1419223" cy="449578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style>
          <a:lnRef idx="0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overflow" vert="horz" wrap="square" lIns="91440" tIns="45720" rIns="91440" bIns="45720" numCol="1" spcCol="0" rtlCol="0" fromWordArt="0" anchor="t" anchorCtr="0" forceAA="0" upright="0" compatLnSpc="0"/>
          <a:p>
            <a:pPr>
              <a:defRPr/>
            </a:pPr>
            <a:r>
              <a:rPr sz="2000" b="1"/>
              <a:t>A</a:t>
            </a:r>
            <a:r>
              <a:rPr sz="2000"/>
              <a:t>-scenario</a:t>
            </a:r>
            <a:endParaRPr sz="2000"/>
          </a:p>
        </xdr:txBody>
      </xdr:sp>
      <xdr:sp>
        <xdr:nvSpPr>
          <xdr:cNvPr id="1883615812" name=""/>
          <xdr:cNvSpPr txBox="1"/>
        </xdr:nvSpPr>
        <xdr:spPr bwMode="auto">
          <a:xfrm flipH="0" flipV="0">
            <a:off x="12813030" y="0"/>
            <a:ext cx="1419222" cy="449577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style>
          <a:lnRef idx="0">
            <a:schemeClr val="accent1">
              <a:shade val="50000"/>
            </a:schemeClr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overflow" vert="horz" wrap="square" lIns="91440" tIns="45720" rIns="91440" bIns="45720" numCol="1" spcCol="0" rtlCol="0" fromWordArt="0" anchor="t" anchorCtr="0" forceAA="0" upright="0" compatLnSpc="0"/>
          <a:p>
            <a:pPr>
              <a:defRPr/>
            </a:pPr>
            <a:r>
              <a:rPr sz="2000" b="1"/>
              <a:t>B</a:t>
            </a:r>
            <a:r>
              <a:rPr sz="2000"/>
              <a:t>-scenario</a:t>
            </a:r>
            <a:endParaRPr sz="2000"/>
          </a:p>
        </xdr:txBody>
      </xdr:sp>
    </xdr:grpSp>
    <xdr:clientData/>
  </xdr:twoCellAnchor>
  <xdr:twoCellAnchor editAs="twoCell">
    <xdr:from>
      <xdr:col>12</xdr:col>
      <xdr:colOff>428623</xdr:colOff>
      <xdr:row>33</xdr:row>
      <xdr:rowOff>71955</xdr:rowOff>
    </xdr:from>
    <xdr:to>
      <xdr:col>17</xdr:col>
      <xdr:colOff>184783</xdr:colOff>
      <xdr:row>35</xdr:row>
      <xdr:rowOff>155773</xdr:rowOff>
    </xdr:to>
    <xdr:sp>
      <xdr:nvSpPr>
        <xdr:cNvPr id="202341148" name=""/>
        <xdr:cNvSpPr txBox="1"/>
      </xdr:nvSpPr>
      <xdr:spPr bwMode="auto">
        <a:xfrm flipH="0" flipV="0">
          <a:off x="15470503" y="6106995"/>
          <a:ext cx="2804158" cy="449577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 algn="ctr">
            <a:defRPr/>
          </a:pPr>
          <a:r>
            <a:rPr sz="2000" b="1"/>
            <a:t>Finite Size Effects</a:t>
          </a:r>
          <a:endParaRPr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596263</xdr:colOff>
      <xdr:row>59</xdr:row>
      <xdr:rowOff>1903</xdr:rowOff>
    </xdr:from>
    <xdr:to>
      <xdr:col>16</xdr:col>
      <xdr:colOff>300987</xdr:colOff>
      <xdr:row>73</xdr:row>
      <xdr:rowOff>169543</xdr:rowOff>
    </xdr:to>
    <xdr:graphicFrame>
      <xdr:nvGraphicFramePr>
        <xdr:cNvPr id="2083134698" name=""/>
        <xdr:cNvGraphicFramePr>
          <a:graphicFrameLocks xmlns:a="http://schemas.openxmlformats.org/drawingml/2006/main"/>
        </xdr:cNvGraphicFramePr>
      </xdr:nvGraphicFramePr>
      <xdr:xfrm rot="0" flipH="0" flipV="0">
        <a:off x="7301863" y="10791823"/>
        <a:ext cx="2752723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304798</xdr:colOff>
      <xdr:row>59</xdr:row>
      <xdr:rowOff>1903</xdr:rowOff>
    </xdr:from>
    <xdr:to>
      <xdr:col>21</xdr:col>
      <xdr:colOff>9521</xdr:colOff>
      <xdr:row>73</xdr:row>
      <xdr:rowOff>169541</xdr:rowOff>
    </xdr:to>
    <xdr:graphicFrame>
      <xdr:nvGraphicFramePr>
        <xdr:cNvPr id="1703955169" name=""/>
        <xdr:cNvGraphicFramePr>
          <a:graphicFrameLocks xmlns:a="http://schemas.openxmlformats.org/drawingml/2006/main"/>
        </xdr:cNvGraphicFramePr>
      </xdr:nvGraphicFramePr>
      <xdr:xfrm rot="0" flipH="0" flipV="0">
        <a:off x="10058398" y="10791823"/>
        <a:ext cx="2752723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11</xdr:col>
      <xdr:colOff>609597</xdr:colOff>
      <xdr:row>73</xdr:row>
      <xdr:rowOff>175258</xdr:rowOff>
    </xdr:from>
    <xdr:to>
      <xdr:col>16</xdr:col>
      <xdr:colOff>314322</xdr:colOff>
      <xdr:row>88</xdr:row>
      <xdr:rowOff>160016</xdr:rowOff>
    </xdr:to>
    <xdr:graphicFrame>
      <xdr:nvGraphicFramePr>
        <xdr:cNvPr id="74410811" name=""/>
        <xdr:cNvGraphicFramePr>
          <a:graphicFrameLocks xmlns:a="http://schemas.openxmlformats.org/drawingml/2006/main"/>
        </xdr:cNvGraphicFramePr>
      </xdr:nvGraphicFramePr>
      <xdr:xfrm rot="0" flipH="0" flipV="0">
        <a:off x="7315198" y="13525498"/>
        <a:ext cx="2752723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16</xdr:col>
      <xdr:colOff>318132</xdr:colOff>
      <xdr:row>73</xdr:row>
      <xdr:rowOff>175258</xdr:rowOff>
    </xdr:from>
    <xdr:to>
      <xdr:col>21</xdr:col>
      <xdr:colOff>22855</xdr:colOff>
      <xdr:row>88</xdr:row>
      <xdr:rowOff>160016</xdr:rowOff>
    </xdr:to>
    <xdr:graphicFrame>
      <xdr:nvGraphicFramePr>
        <xdr:cNvPr id="818229154" name=""/>
        <xdr:cNvGraphicFramePr>
          <a:graphicFrameLocks xmlns:a="http://schemas.openxmlformats.org/drawingml/2006/main"/>
        </xdr:cNvGraphicFramePr>
      </xdr:nvGraphicFramePr>
      <xdr:xfrm rot="0" flipH="0" flipV="0">
        <a:off x="10071732" y="13525498"/>
        <a:ext cx="2752722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596263</xdr:colOff>
      <xdr:row>59</xdr:row>
      <xdr:rowOff>1903</xdr:rowOff>
    </xdr:from>
    <xdr:to>
      <xdr:col>16</xdr:col>
      <xdr:colOff>300987</xdr:colOff>
      <xdr:row>73</xdr:row>
      <xdr:rowOff>169543</xdr:rowOff>
    </xdr:to>
    <xdr:graphicFrame>
      <xdr:nvGraphicFramePr>
        <xdr:cNvPr id="1943030784" name=""/>
        <xdr:cNvGraphicFramePr>
          <a:graphicFrameLocks xmlns:a="http://schemas.openxmlformats.org/drawingml/2006/main"/>
        </xdr:cNvGraphicFramePr>
      </xdr:nvGraphicFramePr>
      <xdr:xfrm rot="0" flipH="0" flipV="0">
        <a:off x="7301863" y="10791823"/>
        <a:ext cx="2752723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304798</xdr:colOff>
      <xdr:row>59</xdr:row>
      <xdr:rowOff>1903</xdr:rowOff>
    </xdr:from>
    <xdr:to>
      <xdr:col>21</xdr:col>
      <xdr:colOff>9521</xdr:colOff>
      <xdr:row>73</xdr:row>
      <xdr:rowOff>169541</xdr:rowOff>
    </xdr:to>
    <xdr:graphicFrame>
      <xdr:nvGraphicFramePr>
        <xdr:cNvPr id="510275555" name=""/>
        <xdr:cNvGraphicFramePr>
          <a:graphicFrameLocks xmlns:a="http://schemas.openxmlformats.org/drawingml/2006/main"/>
        </xdr:cNvGraphicFramePr>
      </xdr:nvGraphicFramePr>
      <xdr:xfrm rot="0" flipH="0" flipV="0">
        <a:off x="10058398" y="10791823"/>
        <a:ext cx="2752723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11</xdr:col>
      <xdr:colOff>600073</xdr:colOff>
      <xdr:row>73</xdr:row>
      <xdr:rowOff>169543</xdr:rowOff>
    </xdr:from>
    <xdr:to>
      <xdr:col>16</xdr:col>
      <xdr:colOff>304797</xdr:colOff>
      <xdr:row>88</xdr:row>
      <xdr:rowOff>154301</xdr:rowOff>
    </xdr:to>
    <xdr:graphicFrame>
      <xdr:nvGraphicFramePr>
        <xdr:cNvPr id="1470753140" name=""/>
        <xdr:cNvGraphicFramePr>
          <a:graphicFrameLocks xmlns:a="http://schemas.openxmlformats.org/drawingml/2006/main"/>
        </xdr:cNvGraphicFramePr>
      </xdr:nvGraphicFramePr>
      <xdr:xfrm rot="0" flipH="0" flipV="0">
        <a:off x="7305673" y="13519783"/>
        <a:ext cx="2752723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16</xdr:col>
      <xdr:colOff>308607</xdr:colOff>
      <xdr:row>73</xdr:row>
      <xdr:rowOff>169543</xdr:rowOff>
    </xdr:from>
    <xdr:to>
      <xdr:col>21</xdr:col>
      <xdr:colOff>13330</xdr:colOff>
      <xdr:row>88</xdr:row>
      <xdr:rowOff>154301</xdr:rowOff>
    </xdr:to>
    <xdr:graphicFrame>
      <xdr:nvGraphicFramePr>
        <xdr:cNvPr id="1020701674" name=""/>
        <xdr:cNvGraphicFramePr>
          <a:graphicFrameLocks xmlns:a="http://schemas.openxmlformats.org/drawingml/2006/main"/>
        </xdr:cNvGraphicFramePr>
      </xdr:nvGraphicFramePr>
      <xdr:xfrm rot="0" flipH="0" flipV="0">
        <a:off x="10062207" y="13519783"/>
        <a:ext cx="2752722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customWidth="1" hidden="1" min="1" max="1" style="1" width="72.8515625"/>
    <col customWidth="1" min="2" max="2" style="1" width="21.421875"/>
    <col customWidth="1" min="3" max="8" style="1" width="15.7109375"/>
    <col min="9" max="16384" style="1" width="9.140625"/>
  </cols>
  <sheetData>
    <row r="1" ht="14.25">
      <c r="A1" s="1"/>
      <c r="B1" s="1"/>
      <c r="C1" s="2" t="s">
        <v>0</v>
      </c>
      <c r="D1" s="3" t="s">
        <v>1</v>
      </c>
      <c r="E1" s="4" t="s">
        <v>2</v>
      </c>
      <c r="F1" s="5" t="s">
        <v>3</v>
      </c>
      <c r="G1" s="3" t="s">
        <v>4</v>
      </c>
      <c r="H1" s="2" t="s">
        <v>5</v>
      </c>
    </row>
    <row r="2" ht="63">
      <c r="A2" s="6" t="s">
        <v>6</v>
      </c>
      <c r="B2" s="7" t="s">
        <v>7</v>
      </c>
      <c r="C2" s="8">
        <v>19.507891383197727</v>
      </c>
      <c r="D2" s="9">
        <v>0.69601019507891382</v>
      </c>
      <c r="E2" s="10">
        <v>78.962846779727485</v>
      </c>
      <c r="F2" s="11">
        <v>0.83325164199588275</v>
      </c>
      <c r="G2" s="9">
        <f t="shared" ref="G2:G9" si="0">C2+D2</f>
        <v>20.203901578276639</v>
      </c>
      <c r="H2" s="8">
        <f t="shared" ref="H2:H9" si="1">E2+F2</f>
        <v>79.796098421723372</v>
      </c>
    </row>
    <row r="3" ht="63">
      <c r="A3" s="6" t="s">
        <v>8</v>
      </c>
      <c r="B3" s="7" t="s">
        <v>9</v>
      </c>
      <c r="C3" s="8">
        <v>26.085677874718165</v>
      </c>
      <c r="D3" s="9">
        <v>26.418978531516519</v>
      </c>
      <c r="E3" s="10">
        <v>46.662091951769433</v>
      </c>
      <c r="F3" s="11">
        <v>0.83325164199588275</v>
      </c>
      <c r="G3" s="9">
        <f t="shared" si="0"/>
        <v>52.504656406234687</v>
      </c>
      <c r="H3" s="8">
        <f t="shared" si="1"/>
        <v>47.495343593765313</v>
      </c>
    </row>
    <row r="4" ht="63">
      <c r="A4" s="6" t="s">
        <v>10</v>
      </c>
      <c r="B4" s="7" t="s">
        <v>11</v>
      </c>
      <c r="C4" s="8">
        <v>74.512302715420006</v>
      </c>
      <c r="D4" s="9">
        <v>0.98029604940692083</v>
      </c>
      <c r="E4" s="10">
        <v>23.674149593177141</v>
      </c>
      <c r="F4" s="11">
        <v>0.83325164199588275</v>
      </c>
      <c r="G4" s="9">
        <f t="shared" si="0"/>
        <v>75.492598764826923</v>
      </c>
      <c r="H4" s="8">
        <f t="shared" si="1"/>
        <v>24.507401235173024</v>
      </c>
    </row>
    <row r="5" ht="63">
      <c r="A5" s="6" t="s">
        <v>12</v>
      </c>
      <c r="B5" s="7" t="s">
        <v>13</v>
      </c>
      <c r="C5" s="8">
        <v>66.924811293010407</v>
      </c>
      <c r="D5" s="9">
        <v>17.674737770806782</v>
      </c>
      <c r="E5" s="10">
        <v>14.567199294186844</v>
      </c>
      <c r="F5" s="11">
        <v>0.83325164199588275</v>
      </c>
      <c r="G5" s="9">
        <f t="shared" si="0"/>
        <v>84.599549063817193</v>
      </c>
      <c r="H5" s="8">
        <f t="shared" si="1"/>
        <v>15.400450936182727</v>
      </c>
    </row>
    <row r="6" ht="63">
      <c r="A6" s="12" t="s">
        <v>14</v>
      </c>
      <c r="B6" s="7" t="s">
        <v>7</v>
      </c>
      <c r="C6" s="8">
        <v>18.958925595529799</v>
      </c>
      <c r="D6" s="9">
        <v>1.2449759827467897</v>
      </c>
      <c r="E6" s="10">
        <v>71.836094500539161</v>
      </c>
      <c r="F6" s="11">
        <v>7.9600039211841969</v>
      </c>
      <c r="G6" s="9">
        <f t="shared" si="0"/>
        <v>20.203901578276589</v>
      </c>
      <c r="H6" s="8">
        <f t="shared" si="1"/>
        <v>79.796098421723357</v>
      </c>
      <c r="I6" s="5" t="s">
        <v>15</v>
      </c>
    </row>
    <row r="7" ht="63">
      <c r="A7" s="12" t="s">
        <v>16</v>
      </c>
      <c r="B7" s="7" t="s">
        <v>9</v>
      </c>
      <c r="C7" s="8">
        <v>24.389765709244099</v>
      </c>
      <c r="D7" s="9">
        <v>28.467797274776984</v>
      </c>
      <c r="E7" s="10">
        <v>38.427605136751296</v>
      </c>
      <c r="F7" s="11">
        <v>8.7148318792275266</v>
      </c>
      <c r="G7" s="9">
        <f t="shared" si="0"/>
        <v>52.857562984021087</v>
      </c>
      <c r="H7" s="8">
        <f t="shared" si="1"/>
        <v>47.142437015978821</v>
      </c>
      <c r="I7" s="5" t="s">
        <v>15</v>
      </c>
    </row>
    <row r="8" ht="63">
      <c r="A8" s="12" t="s">
        <v>17</v>
      </c>
      <c r="B8" s="7" t="s">
        <v>11</v>
      </c>
      <c r="C8" s="8">
        <v>62.238996176845404</v>
      </c>
      <c r="D8" s="9">
        <v>13.25360258798157</v>
      </c>
      <c r="E8" s="10">
        <v>14.724046662091952</v>
      </c>
      <c r="F8" s="11">
        <v>9.7833545730810716</v>
      </c>
      <c r="G8" s="9">
        <f t="shared" si="0"/>
        <v>75.49259876482698</v>
      </c>
      <c r="H8" s="8">
        <f t="shared" si="1"/>
        <v>24.507401235173024</v>
      </c>
      <c r="I8" s="5" t="s">
        <v>15</v>
      </c>
    </row>
    <row r="9" ht="63">
      <c r="A9" s="12" t="s">
        <v>18</v>
      </c>
      <c r="B9" s="7" t="s">
        <v>13</v>
      </c>
      <c r="C9" s="8">
        <v>63.327124791687098</v>
      </c>
      <c r="D9" s="9">
        <v>20.860699931379276</v>
      </c>
      <c r="E9" s="10">
        <v>5.9111851779237323</v>
      </c>
      <c r="F9" s="11">
        <v>9.9009900990099009</v>
      </c>
      <c r="G9" s="9">
        <f t="shared" si="0"/>
        <v>84.18782472306637</v>
      </c>
      <c r="H9" s="8">
        <f t="shared" si="1"/>
        <v>15.812175276933633</v>
      </c>
      <c r="I9" s="5" t="s">
        <v>15</v>
      </c>
    </row>
    <row r="10" ht="63">
      <c r="A10" s="13" t="s">
        <v>19</v>
      </c>
      <c r="B10" s="14" t="s">
        <v>7</v>
      </c>
      <c r="C10" s="15">
        <v>21.772375257327713</v>
      </c>
      <c r="D10" s="16">
        <v>0.69601019507891382</v>
      </c>
      <c r="E10" s="17">
        <v>0.29408881482207627</v>
      </c>
      <c r="F10" s="18">
        <v>77.237525732771289</v>
      </c>
      <c r="G10" s="16">
        <f t="shared" ref="G10:G33" si="2">C10+D10</f>
        <v>22.468385452406626</v>
      </c>
      <c r="H10" s="15">
        <f t="shared" ref="H10:H33" si="3">E10+F10</f>
        <v>77.531614547593364</v>
      </c>
    </row>
    <row r="11" ht="63">
      <c r="A11" s="13" t="s">
        <v>20</v>
      </c>
      <c r="B11" s="14" t="s">
        <v>9</v>
      </c>
      <c r="C11" s="15">
        <v>25.968042348789332</v>
      </c>
      <c r="D11" s="16">
        <v>0.98029604940692083</v>
      </c>
      <c r="E11" s="17">
        <v>0.0098029604940692086</v>
      </c>
      <c r="F11" s="18">
        <v>73.041858641309673</v>
      </c>
      <c r="G11" s="16">
        <f t="shared" si="2"/>
        <v>26.948338398196253</v>
      </c>
      <c r="H11" s="15">
        <f t="shared" si="3"/>
        <v>73.051661601803744</v>
      </c>
    </row>
    <row r="12" ht="63">
      <c r="A12" s="13" t="s">
        <v>21</v>
      </c>
      <c r="B12" s="14" t="s">
        <v>11</v>
      </c>
      <c r="C12" s="15">
        <v>31.653759435349478</v>
      </c>
      <c r="D12" s="16">
        <v>0.98029604940692083</v>
      </c>
      <c r="E12" s="17">
        <v>0.0098029604940692086</v>
      </c>
      <c r="F12" s="18">
        <v>67.356141554749541</v>
      </c>
      <c r="G12" s="16">
        <f t="shared" si="2"/>
        <v>32.634055484756402</v>
      </c>
      <c r="H12" s="15">
        <f t="shared" si="3"/>
        <v>67.365944515243612</v>
      </c>
    </row>
    <row r="13" ht="63">
      <c r="A13" s="13" t="s">
        <v>22</v>
      </c>
      <c r="B13" s="14" t="s">
        <v>13</v>
      </c>
      <c r="C13" s="15">
        <v>61.170473482991859</v>
      </c>
      <c r="D13" s="16">
        <v>0.98029604940692083</v>
      </c>
      <c r="E13" s="17">
        <v>0.0098029604940692086</v>
      </c>
      <c r="F13" s="18">
        <v>37.839427507107146</v>
      </c>
      <c r="G13" s="16">
        <f t="shared" si="2"/>
        <v>62.150769532398783</v>
      </c>
      <c r="H13" s="15">
        <f t="shared" si="3"/>
        <v>37.849230467601217</v>
      </c>
    </row>
    <row r="14" ht="63">
      <c r="A14" s="19" t="s">
        <v>23</v>
      </c>
      <c r="B14" s="14" t="s">
        <v>7</v>
      </c>
      <c r="C14" s="15">
        <v>21.644936770904813</v>
      </c>
      <c r="D14" s="16">
        <v>0.82344868150181361</v>
      </c>
      <c r="E14" s="17">
        <v>0.29408881482207627</v>
      </c>
      <c r="F14" s="18">
        <v>77.237525732771289</v>
      </c>
      <c r="G14" s="16">
        <f t="shared" si="2"/>
        <v>22.468385452406626</v>
      </c>
      <c r="H14" s="15">
        <f t="shared" si="3"/>
        <v>77.531614547593364</v>
      </c>
      <c r="I14" s="5" t="s">
        <v>15</v>
      </c>
    </row>
    <row r="15" ht="63">
      <c r="A15" s="19" t="s">
        <v>24</v>
      </c>
      <c r="B15" s="14" t="s">
        <v>9</v>
      </c>
      <c r="C15" s="15">
        <v>25.968042348789332</v>
      </c>
      <c r="D15" s="16">
        <v>0.98029604940692083</v>
      </c>
      <c r="E15" s="17">
        <v>0.0098029604940692086</v>
      </c>
      <c r="F15" s="18">
        <v>73.041858641309673</v>
      </c>
      <c r="G15" s="16">
        <f t="shared" si="2"/>
        <v>26.948338398196253</v>
      </c>
      <c r="H15" s="15">
        <f t="shared" si="3"/>
        <v>73.051661601803744</v>
      </c>
      <c r="I15" s="5" t="s">
        <v>15</v>
      </c>
    </row>
    <row r="16" ht="63">
      <c r="A16" s="19" t="s">
        <v>25</v>
      </c>
      <c r="B16" s="14" t="s">
        <v>11</v>
      </c>
      <c r="C16" s="15">
        <v>31.653759435349478</v>
      </c>
      <c r="D16" s="16">
        <v>0.98029604940692083</v>
      </c>
      <c r="E16" s="17">
        <v>0.0098029604940692086</v>
      </c>
      <c r="F16" s="18">
        <v>67.356141554749541</v>
      </c>
      <c r="G16" s="16">
        <f t="shared" si="2"/>
        <v>32.634055484756402</v>
      </c>
      <c r="H16" s="15">
        <f t="shared" si="3"/>
        <v>67.365944515243612</v>
      </c>
      <c r="I16" s="5" t="s">
        <v>15</v>
      </c>
    </row>
    <row r="17" ht="63">
      <c r="A17" s="19" t="s">
        <v>26</v>
      </c>
      <c r="B17" s="14" t="s">
        <v>13</v>
      </c>
      <c r="C17" s="15">
        <v>60.866581707675714</v>
      </c>
      <c r="D17" s="16">
        <v>0.98029604940692083</v>
      </c>
      <c r="E17" s="17">
        <v>0.0098029604940692086</v>
      </c>
      <c r="F17" s="18">
        <v>38.143319282423292</v>
      </c>
      <c r="G17" s="16">
        <f t="shared" si="2"/>
        <v>61.846877757082638</v>
      </c>
      <c r="H17" s="15">
        <f t="shared" si="3"/>
        <v>38.153122242917362</v>
      </c>
      <c r="I17" s="5" t="s">
        <v>15</v>
      </c>
    </row>
    <row r="18" ht="63">
      <c r="A18" s="6" t="s">
        <v>27</v>
      </c>
      <c r="B18" s="7" t="s">
        <v>7</v>
      </c>
      <c r="C18" s="8">
        <v>24.056465052445837</v>
      </c>
      <c r="D18" s="9">
        <v>0.69601019507891382</v>
      </c>
      <c r="E18" s="10">
        <v>74.414273110479371</v>
      </c>
      <c r="F18" s="11">
        <v>0.83325164199588275</v>
      </c>
      <c r="G18" s="9">
        <f t="shared" si="2"/>
        <v>24.75247524752475</v>
      </c>
      <c r="H18" s="8">
        <f t="shared" si="3"/>
        <v>75.247524752475258</v>
      </c>
    </row>
    <row r="19" ht="63">
      <c r="A19" s="6" t="s">
        <v>28</v>
      </c>
      <c r="B19" s="7" t="s">
        <v>9</v>
      </c>
      <c r="C19" s="8">
        <v>33.143809430447995</v>
      </c>
      <c r="D19" s="9">
        <v>32.59484364278012</v>
      </c>
      <c r="E19" s="10">
        <v>33.428095284776006</v>
      </c>
      <c r="F19" s="11">
        <v>0.83325164199588275</v>
      </c>
      <c r="G19" s="9">
        <f t="shared" si="2"/>
        <v>65.738653073228107</v>
      </c>
      <c r="H19" s="8">
        <f t="shared" si="3"/>
        <v>34.261346926771886</v>
      </c>
    </row>
    <row r="20" ht="63">
      <c r="A20" s="6" t="s">
        <v>29</v>
      </c>
      <c r="B20" s="7" t="s">
        <v>11</v>
      </c>
      <c r="C20" s="8">
        <v>89.393196745417114</v>
      </c>
      <c r="D20" s="9">
        <v>0.98029604940692083</v>
      </c>
      <c r="E20" s="10">
        <v>8.7932555631800806</v>
      </c>
      <c r="F20" s="11">
        <v>0.83325164199588275</v>
      </c>
      <c r="G20" s="9">
        <f t="shared" si="2"/>
        <v>90.373492794824031</v>
      </c>
      <c r="H20" s="8">
        <f t="shared" si="3"/>
        <v>9.6265072051759635</v>
      </c>
    </row>
    <row r="21" ht="63">
      <c r="A21" s="6" t="s">
        <v>30</v>
      </c>
      <c r="B21" s="7" t="s">
        <v>13</v>
      </c>
      <c r="C21" s="8">
        <v>76.6003333006568</v>
      </c>
      <c r="D21" s="9">
        <v>18.606019017743357</v>
      </c>
      <c r="E21" s="10">
        <v>3.9603960396039604</v>
      </c>
      <c r="F21" s="11">
        <v>0.83325164199588275</v>
      </c>
      <c r="G21" s="9">
        <f t="shared" si="2"/>
        <v>95.20635231840015</v>
      </c>
      <c r="H21" s="8">
        <f t="shared" si="3"/>
        <v>4.7936476815998432</v>
      </c>
    </row>
    <row r="22" ht="63">
      <c r="A22" s="12" t="s">
        <v>31</v>
      </c>
      <c r="B22" s="7" t="s">
        <v>7</v>
      </c>
      <c r="C22" s="8">
        <v>23.958435447505146</v>
      </c>
      <c r="D22" s="9">
        <v>0.80384276051367509</v>
      </c>
      <c r="E22" s="10">
        <v>73.933928046269969</v>
      </c>
      <c r="F22" s="11">
        <v>1.3037937457112048</v>
      </c>
      <c r="G22" s="9">
        <f t="shared" si="2"/>
        <v>24.76227820801882</v>
      </c>
      <c r="H22" s="8">
        <f t="shared" si="3"/>
        <v>75.237721791981173</v>
      </c>
      <c r="I22" s="5" t="s">
        <v>15</v>
      </c>
    </row>
    <row r="23" ht="63">
      <c r="A23" s="12" t="s">
        <v>32</v>
      </c>
      <c r="B23" s="7" t="s">
        <v>9</v>
      </c>
      <c r="C23" s="8">
        <v>31.614547593373199</v>
      </c>
      <c r="D23" s="9">
        <v>34.486815018135474</v>
      </c>
      <c r="E23" s="10">
        <v>32.565434761297915</v>
      </c>
      <c r="F23" s="11">
        <v>1.3332026271934125</v>
      </c>
      <c r="G23" s="9">
        <f t="shared" si="2"/>
        <v>66.101362611508677</v>
      </c>
      <c r="H23" s="8">
        <f t="shared" si="3"/>
        <v>33.898637388491331</v>
      </c>
      <c r="I23" s="5" t="s">
        <v>15</v>
      </c>
    </row>
    <row r="24" ht="63">
      <c r="A24" s="12" t="s">
        <v>33</v>
      </c>
      <c r="B24" s="7" t="s">
        <v>11</v>
      </c>
      <c r="C24" s="8">
        <v>74.669150083325164</v>
      </c>
      <c r="D24" s="9">
        <v>15.704342711498873</v>
      </c>
      <c r="E24" s="10">
        <v>8.2442897755122058</v>
      </c>
      <c r="F24" s="11">
        <v>1.3822174296637584</v>
      </c>
      <c r="G24" s="9">
        <f t="shared" si="2"/>
        <v>90.373492794824031</v>
      </c>
      <c r="H24" s="8">
        <f t="shared" si="3"/>
        <v>9.6265072051759635</v>
      </c>
      <c r="I24" s="5" t="s">
        <v>15</v>
      </c>
    </row>
    <row r="25" ht="63">
      <c r="A25" s="12" t="s">
        <v>34</v>
      </c>
      <c r="B25" s="7" t="s">
        <v>13</v>
      </c>
      <c r="C25" s="8">
        <v>73.120282325262238</v>
      </c>
      <c r="D25" s="9">
        <v>22.046858151161651</v>
      </c>
      <c r="E25" s="10">
        <v>3.744730908734438</v>
      </c>
      <c r="F25" s="11">
        <v>1.0881286148416822</v>
      </c>
      <c r="G25" s="9">
        <f t="shared" si="2"/>
        <v>95.167140476423896</v>
      </c>
      <c r="H25" s="8">
        <f t="shared" si="3"/>
        <v>4.8328595235761203</v>
      </c>
      <c r="I25" s="5" t="s">
        <v>15</v>
      </c>
    </row>
    <row r="26" ht="63">
      <c r="A26" s="13" t="s">
        <v>35</v>
      </c>
      <c r="B26" s="14" t="s">
        <v>7</v>
      </c>
      <c r="C26" s="15">
        <v>47.034604450544066</v>
      </c>
      <c r="D26" s="16">
        <v>0.69601019507891382</v>
      </c>
      <c r="E26" s="17">
        <v>0.29408881482207627</v>
      </c>
      <c r="F26" s="18">
        <v>51.975296539554947</v>
      </c>
      <c r="G26" s="16">
        <f t="shared" si="2"/>
        <v>47.730614645622978</v>
      </c>
      <c r="H26" s="15">
        <f t="shared" si="3"/>
        <v>52.269385354377022</v>
      </c>
    </row>
    <row r="27" ht="63">
      <c r="A27" s="13" t="s">
        <v>36</v>
      </c>
      <c r="B27" s="14" t="s">
        <v>9</v>
      </c>
      <c r="C27" s="15">
        <v>55.318106068032549</v>
      </c>
      <c r="D27" s="16">
        <v>0.98029604940692083</v>
      </c>
      <c r="E27" s="17">
        <v>0.0098029604940692086</v>
      </c>
      <c r="F27" s="18">
        <v>43.691794922066464</v>
      </c>
      <c r="G27" s="16">
        <f t="shared" si="2"/>
        <v>56.298402117439473</v>
      </c>
      <c r="H27" s="15">
        <f t="shared" si="3"/>
        <v>43.701597882560534</v>
      </c>
    </row>
    <row r="28" ht="63">
      <c r="A28" s="13" t="s">
        <v>37</v>
      </c>
      <c r="B28" s="14" t="s">
        <v>11</v>
      </c>
      <c r="C28" s="15">
        <v>61.072443878051175</v>
      </c>
      <c r="D28" s="16">
        <v>0.98029604940692083</v>
      </c>
      <c r="E28" s="17">
        <v>0.0098029604940692086</v>
      </c>
      <c r="F28" s="18">
        <v>37.937457112047838</v>
      </c>
      <c r="G28" s="16">
        <f t="shared" si="2"/>
        <v>62.052739927458099</v>
      </c>
      <c r="H28" s="15">
        <f t="shared" si="3"/>
        <v>37.947260072541908</v>
      </c>
    </row>
    <row r="29" ht="63">
      <c r="A29" s="13" t="s">
        <v>38</v>
      </c>
      <c r="B29" s="14" t="s">
        <v>13</v>
      </c>
      <c r="C29" s="15">
        <v>71.67924713263406</v>
      </c>
      <c r="D29" s="16">
        <v>0.98029604940692083</v>
      </c>
      <c r="E29" s="17">
        <v>0.0098029604940692086</v>
      </c>
      <c r="F29" s="18">
        <v>27.330653857464952</v>
      </c>
      <c r="G29" s="16">
        <f t="shared" si="2"/>
        <v>72.659543182040977</v>
      </c>
      <c r="H29" s="15">
        <f t="shared" si="3"/>
        <v>27.340456817959023</v>
      </c>
    </row>
    <row r="30" ht="63">
      <c r="A30" s="19" t="s">
        <v>39</v>
      </c>
      <c r="B30" s="14" t="s">
        <v>7</v>
      </c>
      <c r="C30" s="15">
        <v>33.016370944025098</v>
      </c>
      <c r="D30" s="16">
        <v>14.773061464562298</v>
      </c>
      <c r="E30" s="17">
        <v>0.84305460248995201</v>
      </c>
      <c r="F30" s="18">
        <v>51.367512988922655</v>
      </c>
      <c r="G30" s="16">
        <f t="shared" si="2"/>
        <v>47.789432408587395</v>
      </c>
      <c r="H30" s="15">
        <f t="shared" si="3"/>
        <v>52.210567591412605</v>
      </c>
      <c r="I30" s="5" t="s">
        <v>15</v>
      </c>
    </row>
    <row r="31" ht="63">
      <c r="A31" s="19" t="s">
        <v>40</v>
      </c>
      <c r="B31" s="14" t="s">
        <v>9</v>
      </c>
      <c r="C31" s="15">
        <v>49.593177139496127</v>
      </c>
      <c r="D31" s="16">
        <v>6.705224977943339</v>
      </c>
      <c r="E31" s="17">
        <v>0.0098029604940692086</v>
      </c>
      <c r="F31" s="18">
        <v>43.691794922066464</v>
      </c>
      <c r="G31" s="16">
        <f t="shared" si="2"/>
        <v>56.298402117439466</v>
      </c>
      <c r="H31" s="15">
        <f t="shared" si="3"/>
        <v>43.701597882560534</v>
      </c>
      <c r="I31" s="5" t="s">
        <v>15</v>
      </c>
    </row>
    <row r="32" ht="63">
      <c r="A32" s="19" t="s">
        <v>41</v>
      </c>
      <c r="B32" s="14" t="s">
        <v>11</v>
      </c>
      <c r="C32" s="15">
        <v>60.837172826193509</v>
      </c>
      <c r="D32" s="16">
        <v>1.2155671012645819</v>
      </c>
      <c r="E32" s="17">
        <v>0.0098029604940692086</v>
      </c>
      <c r="F32" s="18">
        <v>37.937457112047838</v>
      </c>
      <c r="G32" s="16">
        <f t="shared" si="2"/>
        <v>62.052739927458092</v>
      </c>
      <c r="H32" s="15">
        <f t="shared" si="3"/>
        <v>37.947260072541908</v>
      </c>
      <c r="I32" s="5" t="s">
        <v>15</v>
      </c>
    </row>
    <row r="33" ht="63">
      <c r="A33" s="20" t="s">
        <v>42</v>
      </c>
      <c r="B33" s="21" t="s">
        <v>13</v>
      </c>
      <c r="C33" s="22">
        <v>69.934320164689737</v>
      </c>
      <c r="D33" s="23">
        <v>2.7252230173512402</v>
      </c>
      <c r="E33" s="24">
        <v>0.0098029604940692086</v>
      </c>
      <c r="F33" s="25">
        <v>27.330653857464952</v>
      </c>
      <c r="G33" s="23">
        <f t="shared" si="2"/>
        <v>72.659543182040977</v>
      </c>
      <c r="H33" s="22">
        <f t="shared" si="3"/>
        <v>27.340456817959023</v>
      </c>
      <c r="I33" s="5" t="s">
        <v>15</v>
      </c>
    </row>
    <row r="34" ht="14.25">
      <c r="A34" s="1"/>
      <c r="B34" s="1"/>
      <c r="C34" s="1"/>
      <c r="D34" s="1"/>
      <c r="E34" s="1"/>
      <c r="F34" s="1"/>
      <c r="G34" s="1"/>
      <c r="H34" s="1"/>
    </row>
    <row r="35" ht="14.25">
      <c r="A35" s="1"/>
      <c r="B35" s="1"/>
      <c r="C35" s="1"/>
      <c r="D35" s="1"/>
      <c r="E35" s="1"/>
      <c r="F35" s="1"/>
      <c r="G35" s="1"/>
      <c r="H35" s="1"/>
    </row>
    <row r="36" ht="14.25">
      <c r="A36" s="1"/>
      <c r="B36" s="1"/>
      <c r="C36" s="1"/>
      <c r="D36" s="1"/>
      <c r="E36" s="1"/>
      <c r="F36" s="1"/>
      <c r="G36" s="1"/>
      <c r="H36" s="1"/>
    </row>
    <row r="37" ht="14.25">
      <c r="A37" s="1"/>
      <c r="B37" s="1"/>
      <c r="C37" s="1"/>
      <c r="D37" s="1"/>
      <c r="E37" s="1"/>
      <c r="F37" s="1"/>
      <c r="G37" s="1"/>
      <c r="H37" s="1"/>
    </row>
    <row r="38" ht="14.25">
      <c r="A38" s="1"/>
      <c r="B38" s="1"/>
      <c r="C38" s="1"/>
      <c r="D38" s="1"/>
      <c r="E38" s="1"/>
      <c r="F38" s="1"/>
      <c r="G38" s="1"/>
      <c r="H38" s="1"/>
    </row>
    <row r="39" ht="14.25">
      <c r="A39" s="1"/>
      <c r="B39" s="1"/>
      <c r="C39" s="1"/>
      <c r="D39" s="1"/>
      <c r="E39" s="1"/>
      <c r="F39" s="1"/>
      <c r="G39" s="1"/>
      <c r="H39" s="1"/>
    </row>
    <row r="40" ht="14.25">
      <c r="A40" s="1"/>
      <c r="B40" s="1"/>
      <c r="C40" s="1"/>
      <c r="D40" s="1"/>
      <c r="E40" s="1"/>
      <c r="F40" s="1"/>
      <c r="G40" s="1"/>
      <c r="H40" s="1"/>
    </row>
    <row r="41" ht="14.25">
      <c r="A41" s="1"/>
      <c r="B41" s="1"/>
      <c r="C41" s="1"/>
      <c r="D41" s="1"/>
      <c r="E41" s="1"/>
      <c r="F41" s="1"/>
      <c r="G41" s="1"/>
      <c r="H41" s="1"/>
    </row>
    <row r="42" ht="14.25">
      <c r="A42" s="1"/>
      <c r="B42" s="1"/>
      <c r="C42" s="1"/>
      <c r="D42" s="1"/>
      <c r="E42" s="1"/>
      <c r="F42" s="1"/>
      <c r="G42" s="1"/>
      <c r="H42" s="1"/>
    </row>
    <row r="43" ht="14.25">
      <c r="A43" s="1"/>
      <c r="B43" s="1"/>
      <c r="C43" s="1"/>
      <c r="D43" s="1"/>
      <c r="E43" s="1"/>
      <c r="F43" s="1"/>
      <c r="G43" s="1"/>
      <c r="H43" s="1"/>
    </row>
    <row r="44" ht="14.25">
      <c r="A44" s="1"/>
      <c r="B44" s="1"/>
      <c r="C44" s="1"/>
      <c r="D44" s="1"/>
      <c r="E44" s="1"/>
      <c r="F44" s="1"/>
      <c r="G44" s="1"/>
      <c r="H44" s="1"/>
    </row>
    <row r="45" ht="14.25">
      <c r="A45" s="1"/>
      <c r="B45" s="1"/>
      <c r="C45" s="1"/>
      <c r="D45" s="1"/>
      <c r="E45" s="1"/>
      <c r="F45" s="1"/>
      <c r="G45" s="1"/>
      <c r="H45" s="1"/>
    </row>
    <row r="46" ht="14.25">
      <c r="A46" s="1"/>
      <c r="B46" s="1"/>
      <c r="C46" s="1"/>
      <c r="D46" s="1"/>
      <c r="E46" s="1"/>
      <c r="F46" s="1"/>
      <c r="G46" s="1"/>
      <c r="H46" s="1"/>
    </row>
    <row r="47" ht="14.25">
      <c r="A47" s="1"/>
      <c r="B47" s="1"/>
      <c r="C47" s="1"/>
      <c r="D47" s="1"/>
      <c r="E47" s="1"/>
      <c r="F47" s="1"/>
      <c r="G47" s="1"/>
      <c r="H47" s="1"/>
    </row>
    <row r="48" ht="14.25">
      <c r="A48" s="1"/>
      <c r="B48" s="1"/>
      <c r="C48" s="1"/>
      <c r="D48" s="1"/>
      <c r="E48" s="1"/>
      <c r="F48" s="1"/>
      <c r="G48" s="1"/>
      <c r="H48" s="1"/>
    </row>
    <row r="49" ht="14.25">
      <c r="A49" s="1"/>
      <c r="B49" s="1"/>
      <c r="C49" s="1"/>
      <c r="D49" s="1"/>
      <c r="E49" s="1"/>
      <c r="F49" s="1"/>
      <c r="G49" s="1"/>
      <c r="H49" s="1"/>
    </row>
    <row r="50" ht="14.25">
      <c r="A50" s="1"/>
      <c r="B50" s="1"/>
      <c r="C50" s="1"/>
      <c r="D50" s="1"/>
      <c r="E50" s="1"/>
      <c r="F50" s="1"/>
      <c r="G50" s="1"/>
      <c r="H50" s="1"/>
    </row>
    <row r="51" ht="14.25">
      <c r="A51" s="1"/>
      <c r="B51" s="1"/>
      <c r="C51" s="1"/>
      <c r="D51" s="1"/>
      <c r="E51" s="1"/>
      <c r="F51" s="1"/>
      <c r="G51" s="1"/>
      <c r="H51" s="1"/>
    </row>
    <row r="52" ht="14.25">
      <c r="A52" s="1"/>
      <c r="B52" s="1"/>
      <c r="C52" s="1"/>
      <c r="D52" s="1"/>
      <c r="E52" s="1"/>
      <c r="F52" s="1"/>
      <c r="G52" s="1"/>
      <c r="H52" s="1"/>
    </row>
    <row r="53" ht="14.25">
      <c r="A53" s="1"/>
      <c r="B53" s="1"/>
      <c r="C53" s="1"/>
      <c r="D53" s="1"/>
      <c r="E53" s="1"/>
      <c r="F53" s="1"/>
      <c r="G53" s="1"/>
      <c r="H53" s="1"/>
    </row>
    <row r="54" ht="14.25">
      <c r="A54" s="1"/>
      <c r="B54" s="1"/>
      <c r="C54" s="1"/>
      <c r="D54" s="1"/>
      <c r="E54" s="1"/>
      <c r="F54" s="1"/>
      <c r="G54" s="1"/>
      <c r="H54" s="1"/>
    </row>
    <row r="55" ht="14.25">
      <c r="A55" s="1"/>
      <c r="B55" s="1"/>
      <c r="C55" s="1"/>
      <c r="D55" s="1"/>
      <c r="E55" s="1"/>
      <c r="F55" s="1"/>
      <c r="G55" s="1"/>
      <c r="H55" s="1"/>
    </row>
    <row r="56" ht="14.25">
      <c r="A56" s="1"/>
      <c r="B56" s="1"/>
      <c r="C56" s="1"/>
      <c r="D56" s="1"/>
      <c r="E56" s="1"/>
      <c r="F56" s="1"/>
      <c r="G56" s="1"/>
      <c r="H56" s="1"/>
    </row>
    <row r="57" ht="14.25">
      <c r="A57" s="1"/>
      <c r="B57" s="1"/>
      <c r="C57" s="1"/>
      <c r="D57" s="1"/>
      <c r="E57" s="1"/>
      <c r="F57" s="1"/>
      <c r="G57" s="1"/>
      <c r="H57" s="1"/>
    </row>
    <row r="58" ht="14.25">
      <c r="A58" s="1"/>
      <c r="B58" s="1"/>
      <c r="C58" s="1"/>
      <c r="D58" s="1"/>
      <c r="E58" s="1"/>
      <c r="F58" s="1"/>
      <c r="G58" s="1"/>
      <c r="H58" s="1"/>
    </row>
    <row r="59" ht="14.25">
      <c r="A59" s="1"/>
      <c r="B59" s="1"/>
      <c r="C59" s="1"/>
      <c r="D59" s="1"/>
      <c r="E59" s="1"/>
      <c r="F59" s="1"/>
      <c r="G59" s="1"/>
      <c r="H59" s="1"/>
    </row>
    <row r="60" ht="14.25">
      <c r="A60" s="1"/>
      <c r="B60" s="1"/>
      <c r="C60" s="1"/>
      <c r="D60" s="1"/>
      <c r="E60" s="1"/>
      <c r="F60" s="1"/>
      <c r="G60" s="1"/>
      <c r="H60" s="1"/>
    </row>
    <row r="61" ht="14.25">
      <c r="A61" s="1"/>
      <c r="B61" s="1"/>
      <c r="C61" s="1"/>
      <c r="D61" s="1"/>
      <c r="E61" s="1"/>
      <c r="F61" s="1"/>
      <c r="G61" s="1"/>
      <c r="H61" s="1"/>
    </row>
    <row r="62" ht="14.25">
      <c r="A62" s="1"/>
      <c r="B62" s="1"/>
      <c r="C62" s="1"/>
      <c r="D62" s="1"/>
      <c r="E62" s="1"/>
      <c r="F62" s="1"/>
      <c r="G62" s="1"/>
      <c r="H62" s="1"/>
    </row>
    <row r="63" ht="14.25">
      <c r="A63" s="1"/>
      <c r="B63" s="1"/>
      <c r="C63" s="1"/>
      <c r="D63" s="1"/>
      <c r="E63" s="1"/>
      <c r="F63" s="1"/>
      <c r="G63" s="1"/>
      <c r="H63" s="1"/>
    </row>
    <row r="64" ht="14.25">
      <c r="A64" s="1"/>
      <c r="B64" s="1"/>
      <c r="C64" s="1"/>
      <c r="D64" s="1"/>
      <c r="E64" s="1"/>
      <c r="F64" s="1"/>
      <c r="G64" s="1"/>
      <c r="H64" s="1"/>
    </row>
    <row r="65" ht="14.25">
      <c r="A65" s="1"/>
      <c r="B65" s="1"/>
      <c r="C65" s="1"/>
      <c r="D65" s="1"/>
      <c r="E65" s="1"/>
      <c r="F65" s="1"/>
      <c r="G65" s="1"/>
      <c r="H65" s="1"/>
    </row>
    <row r="66" ht="14.25">
      <c r="A66" s="1"/>
      <c r="B66" s="1"/>
      <c r="C66" s="1"/>
      <c r="D66" s="1"/>
      <c r="E66" s="1"/>
      <c r="F66" s="1"/>
      <c r="G66" s="1"/>
      <c r="H66" s="1"/>
    </row>
    <row r="67" ht="14.25">
      <c r="A67" s="1"/>
      <c r="B67" s="1"/>
      <c r="C67" s="1"/>
      <c r="D67" s="1"/>
      <c r="E67" s="1"/>
      <c r="F67" s="1"/>
      <c r="G67" s="1"/>
      <c r="H67" s="1"/>
    </row>
    <row r="68" ht="14.25">
      <c r="A68" s="1"/>
      <c r="B68" s="1"/>
      <c r="C68" s="1"/>
      <c r="D68" s="1"/>
      <c r="E68" s="1"/>
      <c r="F68" s="1"/>
      <c r="G68" s="1"/>
      <c r="H68" s="1"/>
    </row>
    <row r="69" ht="14.25">
      <c r="A69" s="1"/>
      <c r="B69" s="1"/>
      <c r="C69" s="1"/>
      <c r="D69" s="1"/>
      <c r="E69" s="1"/>
      <c r="F69" s="1"/>
      <c r="G69" s="1"/>
      <c r="H69" s="1"/>
    </row>
    <row r="70" ht="14.25">
      <c r="A70" s="1"/>
      <c r="B70" s="1"/>
      <c r="C70" s="1"/>
      <c r="D70" s="1"/>
      <c r="E70" s="1"/>
      <c r="F70" s="1"/>
      <c r="G70" s="1"/>
      <c r="H70" s="1"/>
    </row>
    <row r="71" ht="14.25">
      <c r="A71" s="1"/>
      <c r="B71" s="1"/>
      <c r="C71" s="1"/>
      <c r="D71" s="1"/>
      <c r="E71" s="1"/>
      <c r="F71" s="1"/>
      <c r="G71" s="1"/>
      <c r="H71" s="1"/>
    </row>
    <row r="72" ht="14.25">
      <c r="A72" s="1"/>
      <c r="B72" s="1"/>
      <c r="C72" s="1"/>
      <c r="D72" s="1"/>
      <c r="E72" s="1"/>
      <c r="F72" s="1"/>
      <c r="G72" s="1"/>
      <c r="H72" s="1"/>
    </row>
    <row r="73" ht="14.25">
      <c r="A73" s="1"/>
      <c r="B73" s="1"/>
      <c r="C73" s="1"/>
      <c r="D73" s="1"/>
      <c r="E73" s="1"/>
      <c r="F73" s="1"/>
      <c r="G73" s="1"/>
      <c r="H73" s="1"/>
    </row>
    <row r="74" ht="14.25">
      <c r="A74" s="1"/>
      <c r="B74" s="1"/>
      <c r="C74" s="1"/>
      <c r="D74" s="1"/>
      <c r="E74" s="1"/>
      <c r="F74" s="1"/>
      <c r="G74" s="1"/>
      <c r="H74" s="1"/>
    </row>
    <row r="75" ht="14.25">
      <c r="A75" s="1"/>
      <c r="B75" s="1"/>
      <c r="C75" s="1"/>
      <c r="D75" s="1"/>
      <c r="E75" s="1"/>
      <c r="F75" s="1"/>
      <c r="G75" s="1"/>
      <c r="H75" s="1"/>
    </row>
    <row r="76" ht="14.25">
      <c r="A76" s="1"/>
      <c r="B76" s="1"/>
      <c r="C76" s="1"/>
      <c r="D76" s="1"/>
      <c r="E76" s="1"/>
      <c r="F76" s="1"/>
      <c r="G76" s="1"/>
      <c r="H76" s="1"/>
    </row>
    <row r="77" ht="14.25">
      <c r="A77" s="1"/>
      <c r="B77" s="1"/>
      <c r="C77" s="1"/>
      <c r="D77" s="1"/>
      <c r="E77" s="1"/>
      <c r="F77" s="1"/>
      <c r="G77" s="1"/>
      <c r="H77" s="1"/>
    </row>
    <row r="78" ht="14.25">
      <c r="A78" s="1"/>
      <c r="B78" s="1"/>
      <c r="C78" s="1"/>
      <c r="D78" s="1"/>
      <c r="E78" s="1"/>
      <c r="F78" s="1"/>
      <c r="G78" s="1"/>
      <c r="H78" s="1"/>
    </row>
    <row r="79" ht="14.25">
      <c r="A79" s="1"/>
      <c r="B79" s="1"/>
      <c r="C79" s="1"/>
      <c r="D79" s="1"/>
      <c r="E79" s="1"/>
      <c r="F79" s="1"/>
      <c r="G79" s="1"/>
      <c r="H79" s="1"/>
    </row>
    <row r="80" ht="14.25">
      <c r="A80" s="1"/>
      <c r="B80" s="1"/>
      <c r="C80" s="1"/>
      <c r="D80" s="1"/>
      <c r="E80" s="1"/>
      <c r="F80" s="1"/>
      <c r="G80" s="1"/>
      <c r="H80" s="1"/>
    </row>
    <row r="81" ht="14.25">
      <c r="A81" s="1"/>
      <c r="B81" s="1"/>
      <c r="C81" s="1"/>
      <c r="D81" s="1"/>
      <c r="E81" s="1"/>
      <c r="F81" s="1"/>
      <c r="G81" s="1"/>
      <c r="H81" s="1"/>
    </row>
    <row r="82" ht="14.25">
      <c r="A82" s="1"/>
      <c r="B82" s="1"/>
      <c r="C82" s="1"/>
      <c r="D82" s="1"/>
      <c r="E82" s="1"/>
      <c r="F82" s="1"/>
      <c r="G82" s="1"/>
      <c r="H82" s="1"/>
    </row>
    <row r="83" ht="14.25">
      <c r="A83" s="1"/>
      <c r="B83" s="1"/>
      <c r="C83" s="1"/>
      <c r="D83" s="1"/>
      <c r="E83" s="1"/>
      <c r="F83" s="1"/>
      <c r="G83" s="1"/>
      <c r="H83" s="1"/>
    </row>
    <row r="84" ht="14.25">
      <c r="A84" s="1"/>
      <c r="B84" s="1"/>
      <c r="C84" s="1"/>
      <c r="D84" s="1"/>
      <c r="E84" s="1"/>
      <c r="F84" s="1"/>
      <c r="G84" s="1"/>
      <c r="H84" s="1"/>
    </row>
    <row r="85" ht="14.25">
      <c r="A85" s="1"/>
      <c r="B85" s="1"/>
      <c r="C85" s="1"/>
      <c r="D85" s="1"/>
      <c r="E85" s="1"/>
      <c r="F85" s="1"/>
      <c r="G85" s="1"/>
      <c r="H85" s="1"/>
    </row>
    <row r="86" ht="14.25">
      <c r="A86" s="1"/>
      <c r="B86" s="1"/>
      <c r="C86" s="1"/>
      <c r="D86" s="1"/>
      <c r="E86" s="1"/>
      <c r="F86" s="1"/>
      <c r="G86" s="1"/>
      <c r="H86" s="1"/>
    </row>
    <row r="87" ht="14.25">
      <c r="A87" s="1"/>
      <c r="B87" s="1"/>
      <c r="C87" s="1"/>
      <c r="D87" s="1"/>
      <c r="E87" s="1"/>
      <c r="F87" s="1"/>
      <c r="G87" s="1"/>
      <c r="H87" s="1"/>
    </row>
    <row r="88" ht="14.25">
      <c r="A88" s="1"/>
      <c r="B88" s="1"/>
      <c r="C88" s="1"/>
      <c r="D88" s="1"/>
      <c r="E88" s="1"/>
      <c r="F88" s="1"/>
      <c r="G88" s="1"/>
      <c r="H88" s="1"/>
    </row>
    <row r="89" ht="14.25">
      <c r="A89" s="1"/>
      <c r="B89" s="1"/>
      <c r="C89" s="1"/>
      <c r="D89" s="1"/>
      <c r="E89" s="1"/>
      <c r="F89" s="1"/>
      <c r="G89" s="1"/>
      <c r="H89" s="1"/>
    </row>
    <row r="90" ht="14.25">
      <c r="A90" s="1"/>
      <c r="B90" s="1"/>
      <c r="C90" s="1"/>
      <c r="D90" s="1"/>
      <c r="E90" s="1"/>
      <c r="F90" s="1"/>
      <c r="G90" s="1"/>
      <c r="H90" s="1"/>
    </row>
    <row r="91" ht="14.25">
      <c r="A91" s="1"/>
      <c r="B91" s="1"/>
      <c r="C91" s="1"/>
      <c r="D91" s="1"/>
      <c r="E91" s="1"/>
      <c r="F91" s="1"/>
      <c r="G91" s="1"/>
      <c r="H91" s="1"/>
    </row>
    <row r="92" ht="14.25">
      <c r="A92" s="1"/>
      <c r="B92" s="1"/>
      <c r="C92" s="1"/>
      <c r="D92" s="1"/>
      <c r="E92" s="1"/>
      <c r="F92" s="1"/>
      <c r="G92" s="1"/>
      <c r="H92" s="1"/>
    </row>
    <row r="93" ht="14.25">
      <c r="A93" s="1"/>
      <c r="B93" s="1"/>
      <c r="C93" s="1"/>
      <c r="D93" s="1"/>
      <c r="E93" s="1"/>
      <c r="F93" s="1"/>
      <c r="G93" s="1"/>
      <c r="H93" s="1"/>
    </row>
    <row r="94" ht="14.25">
      <c r="A94" s="1"/>
      <c r="B94" s="1"/>
      <c r="C94" s="1"/>
      <c r="D94" s="1"/>
      <c r="E94" s="1"/>
      <c r="F94" s="1"/>
      <c r="G94" s="1"/>
      <c r="H94" s="1"/>
    </row>
    <row r="95" ht="14.25">
      <c r="A95" s="1"/>
      <c r="B95" s="1"/>
      <c r="C95" s="1"/>
      <c r="D95" s="1"/>
      <c r="E95" s="1"/>
      <c r="F95" s="1"/>
      <c r="G95" s="1"/>
      <c r="H95" s="1"/>
    </row>
    <row r="96" ht="14.25">
      <c r="A96" s="1"/>
      <c r="B96" s="1"/>
      <c r="C96" s="1"/>
      <c r="D96" s="1"/>
      <c r="E96" s="1"/>
      <c r="F96" s="1"/>
      <c r="G96" s="1"/>
      <c r="H96" s="1"/>
    </row>
    <row r="97" ht="14.25">
      <c r="A97" s="1"/>
      <c r="B97" s="1"/>
      <c r="C97" s="1"/>
      <c r="D97" s="1"/>
      <c r="E97" s="1"/>
      <c r="F97" s="1"/>
      <c r="G97" s="1"/>
      <c r="H97" s="1"/>
    </row>
    <row r="98" ht="14.25">
      <c r="A98" s="1"/>
      <c r="B98" s="1"/>
      <c r="C98" s="1"/>
      <c r="D98" s="1"/>
      <c r="E98" s="1"/>
      <c r="F98" s="1"/>
      <c r="G98" s="1"/>
      <c r="H98" s="1"/>
    </row>
    <row r="99" ht="14.25">
      <c r="A99" s="1"/>
      <c r="B99" s="1"/>
      <c r="C99" s="1"/>
      <c r="D99" s="1"/>
      <c r="E99" s="1"/>
      <c r="F99" s="1"/>
      <c r="G99" s="1"/>
      <c r="H99" s="1"/>
    </row>
    <row r="100" ht="14.25">
      <c r="A100" s="1"/>
      <c r="B100" s="1"/>
      <c r="C100" s="1"/>
      <c r="D100" s="1"/>
      <c r="E100" s="1"/>
      <c r="F100" s="1"/>
      <c r="G100" s="1"/>
      <c r="H100" s="1"/>
    </row>
    <row r="101" ht="14.25">
      <c r="A101" s="1"/>
      <c r="B101" s="1"/>
      <c r="C101" s="1"/>
      <c r="D101" s="1"/>
      <c r="E101" s="1"/>
      <c r="F101" s="1"/>
      <c r="G101" s="1"/>
      <c r="H101" s="1"/>
    </row>
    <row r="102" ht="14.25">
      <c r="A102" s="1"/>
      <c r="B102" s="1"/>
      <c r="C102" s="1"/>
      <c r="D102" s="1"/>
      <c r="E102" s="1"/>
      <c r="F102" s="1"/>
      <c r="G102" s="1"/>
      <c r="H102" s="1"/>
    </row>
    <row r="103" ht="14.25">
      <c r="A103" s="1"/>
      <c r="B103" s="1"/>
      <c r="C103" s="1"/>
      <c r="D103" s="1"/>
      <c r="E103" s="1"/>
      <c r="F103" s="1"/>
      <c r="G103" s="1"/>
      <c r="H103" s="1"/>
    </row>
    <row r="104" ht="14.25">
      <c r="A104" s="1"/>
      <c r="B104" s="1"/>
      <c r="C104" s="1"/>
      <c r="D104" s="1"/>
      <c r="E104" s="1"/>
      <c r="F104" s="1"/>
      <c r="G104" s="1"/>
      <c r="H104" s="1"/>
    </row>
    <row r="105" ht="14.25">
      <c r="A105" s="1"/>
      <c r="B105" s="1"/>
      <c r="C105" s="1"/>
      <c r="D105" s="1"/>
      <c r="E105" s="1"/>
      <c r="F105" s="1"/>
      <c r="G105" s="1"/>
      <c r="H105" s="1"/>
    </row>
    <row r="106" ht="14.25">
      <c r="A106" s="1"/>
      <c r="B106" s="1"/>
      <c r="C106" s="1"/>
      <c r="D106" s="1"/>
      <c r="E106" s="1"/>
      <c r="F106" s="1"/>
      <c r="G106" s="1"/>
      <c r="H106" s="1"/>
    </row>
    <row r="107" ht="14.25">
      <c r="A107" s="1"/>
      <c r="B107" s="1"/>
      <c r="C107" s="1"/>
      <c r="D107" s="1"/>
      <c r="E107" s="1"/>
      <c r="F107" s="1"/>
      <c r="G107" s="1"/>
      <c r="H107" s="1"/>
    </row>
    <row r="108" ht="14.25">
      <c r="A108" s="1"/>
      <c r="B108" s="1"/>
      <c r="C108" s="1"/>
      <c r="D108" s="1"/>
      <c r="E108" s="1"/>
      <c r="F108" s="1"/>
      <c r="G108" s="1"/>
      <c r="H108" s="1"/>
    </row>
    <row r="109" ht="14.25">
      <c r="A109" s="1"/>
      <c r="B109" s="1"/>
      <c r="C109" s="1"/>
      <c r="D109" s="1"/>
      <c r="E109" s="1"/>
      <c r="F109" s="1"/>
      <c r="G109" s="1"/>
      <c r="H109" s="1"/>
    </row>
    <row r="110" ht="14.25">
      <c r="A110" s="1"/>
      <c r="B110" s="1"/>
      <c r="C110" s="1"/>
      <c r="D110" s="1"/>
      <c r="E110" s="1"/>
      <c r="F110" s="1"/>
      <c r="G110" s="1"/>
      <c r="H110" s="1"/>
    </row>
    <row r="111" ht="14.25">
      <c r="A111" s="1"/>
      <c r="B111" s="1"/>
      <c r="C111" s="1"/>
      <c r="D111" s="1"/>
      <c r="E111" s="1"/>
      <c r="F111" s="1"/>
      <c r="G111" s="1"/>
      <c r="H111" s="1"/>
    </row>
    <row r="112" ht="14.25">
      <c r="A112" s="1"/>
      <c r="B112" s="1"/>
      <c r="C112" s="1"/>
      <c r="D112" s="1"/>
      <c r="E112" s="1"/>
      <c r="F112" s="1"/>
      <c r="G112" s="1"/>
      <c r="H112" s="1"/>
    </row>
    <row r="113" ht="14.25">
      <c r="A113" s="1"/>
      <c r="B113" s="1"/>
      <c r="C113" s="1"/>
      <c r="D113" s="1"/>
      <c r="E113" s="1"/>
      <c r="F113" s="1"/>
      <c r="G113" s="1"/>
      <c r="H113" s="1"/>
    </row>
    <row r="114" ht="14.25">
      <c r="A114" s="1"/>
      <c r="B114" s="1"/>
      <c r="C114" s="1"/>
      <c r="D114" s="1"/>
      <c r="E114" s="1"/>
      <c r="F114" s="1"/>
      <c r="G114" s="1"/>
      <c r="H114" s="1"/>
    </row>
    <row r="115" ht="14.25">
      <c r="A115" s="1"/>
      <c r="B115" s="1"/>
      <c r="C115" s="1"/>
      <c r="D115" s="1"/>
      <c r="E115" s="1"/>
      <c r="F115" s="1"/>
      <c r="G115" s="1"/>
      <c r="H115" s="1"/>
    </row>
    <row r="116" ht="14.25">
      <c r="A116" s="1"/>
      <c r="B116" s="1"/>
      <c r="C116" s="1"/>
      <c r="D116" s="1"/>
      <c r="E116" s="1"/>
      <c r="F116" s="1"/>
      <c r="G116" s="1"/>
      <c r="H116" s="1"/>
    </row>
    <row r="117" ht="14.25">
      <c r="A117" s="1"/>
      <c r="B117" s="1"/>
      <c r="C117" s="1"/>
      <c r="D117" s="1"/>
      <c r="E117" s="1"/>
      <c r="F117" s="1"/>
      <c r="G117" s="1"/>
      <c r="H117" s="1"/>
    </row>
    <row r="118" ht="14.25">
      <c r="A118" s="1"/>
      <c r="B118" s="1"/>
      <c r="C118" s="1"/>
      <c r="D118" s="1"/>
      <c r="E118" s="1"/>
      <c r="F118" s="1"/>
      <c r="G118" s="1"/>
      <c r="H118" s="1"/>
    </row>
    <row r="119" ht="14.25">
      <c r="A119" s="1"/>
      <c r="B119" s="1"/>
      <c r="C119" s="1"/>
      <c r="D119" s="1"/>
      <c r="E119" s="1"/>
      <c r="F119" s="1"/>
      <c r="G119" s="1"/>
      <c r="H119" s="1"/>
    </row>
    <row r="120" ht="14.25">
      <c r="A120" s="1"/>
      <c r="B120" s="1"/>
      <c r="C120" s="1"/>
      <c r="D120" s="1"/>
      <c r="E120" s="1"/>
      <c r="F120" s="1"/>
      <c r="G120" s="1"/>
      <c r="H120" s="1"/>
    </row>
    <row r="121" ht="14.25">
      <c r="A121" s="1"/>
      <c r="B121" s="1"/>
      <c r="C121" s="1"/>
      <c r="D121" s="1"/>
      <c r="E121" s="1"/>
      <c r="F121" s="1"/>
      <c r="G121" s="1"/>
      <c r="H121" s="1"/>
    </row>
    <row r="122" ht="14.25">
      <c r="A122" s="1"/>
      <c r="B122" s="1"/>
      <c r="C122" s="1"/>
      <c r="D122" s="1"/>
      <c r="E122" s="1"/>
      <c r="F122" s="1"/>
      <c r="G122" s="1"/>
      <c r="H122" s="1"/>
    </row>
    <row r="123" ht="14.25">
      <c r="A123" s="1"/>
      <c r="B123" s="1"/>
      <c r="C123" s="1"/>
      <c r="D123" s="1"/>
      <c r="E123" s="1"/>
      <c r="F123" s="1"/>
      <c r="G123" s="1"/>
      <c r="H123" s="1"/>
    </row>
    <row r="124" ht="14.25">
      <c r="A124" s="1"/>
      <c r="B124" s="1"/>
      <c r="C124" s="1"/>
      <c r="D124" s="1"/>
      <c r="E124" s="1"/>
      <c r="F124" s="1"/>
      <c r="G124" s="1"/>
      <c r="H124" s="1"/>
    </row>
    <row r="125" ht="14.25">
      <c r="A125" s="1"/>
      <c r="B125" s="1"/>
      <c r="C125" s="1"/>
      <c r="D125" s="1"/>
      <c r="E125" s="1"/>
      <c r="F125" s="1"/>
      <c r="G125" s="1"/>
      <c r="H125" s="1"/>
    </row>
    <row r="126" ht="14.25">
      <c r="A126" s="1"/>
      <c r="B126" s="1"/>
      <c r="C126" s="1"/>
      <c r="D126" s="1"/>
      <c r="E126" s="1"/>
      <c r="F126" s="1"/>
      <c r="G126" s="1"/>
      <c r="H126" s="1"/>
    </row>
    <row r="127" ht="14.25">
      <c r="A127" s="1"/>
      <c r="B127" s="1"/>
      <c r="C127" s="1"/>
      <c r="D127" s="1"/>
      <c r="E127" s="1"/>
      <c r="F127" s="1"/>
      <c r="G127" s="1"/>
      <c r="H127" s="1"/>
    </row>
    <row r="128" ht="14.25">
      <c r="A128" s="1"/>
      <c r="B128" s="1"/>
      <c r="C128" s="1"/>
      <c r="D128" s="1"/>
      <c r="E128" s="1"/>
      <c r="F128" s="1"/>
      <c r="G128" s="1"/>
      <c r="H128" s="1"/>
    </row>
    <row r="129" ht="14.25">
      <c r="A129" s="1"/>
      <c r="B129" s="1"/>
      <c r="C129" s="1"/>
      <c r="D129" s="1"/>
      <c r="E129" s="1"/>
      <c r="F129" s="1"/>
      <c r="G129" s="1"/>
      <c r="H129" s="1"/>
    </row>
    <row r="130" ht="14.25">
      <c r="A130" s="1"/>
      <c r="B130" s="1"/>
      <c r="C130" s="1"/>
      <c r="D130" s="1"/>
      <c r="E130" s="1"/>
      <c r="F130" s="1"/>
      <c r="G130" s="1"/>
      <c r="H130" s="1"/>
    </row>
    <row r="131" ht="14.25">
      <c r="A131" s="1"/>
      <c r="B131" s="1"/>
      <c r="C131" s="1"/>
      <c r="D131" s="1"/>
      <c r="E131" s="1"/>
      <c r="F131" s="1"/>
      <c r="G131" s="1"/>
      <c r="H131" s="1"/>
    </row>
    <row r="132" ht="14.25">
      <c r="A132" s="1"/>
      <c r="B132" s="1"/>
      <c r="C132" s="1"/>
      <c r="D132" s="1"/>
      <c r="E132" s="1"/>
      <c r="F132" s="1"/>
      <c r="G132" s="1"/>
      <c r="H132" s="1"/>
    </row>
    <row r="133" ht="14.25">
      <c r="A133" s="1"/>
      <c r="B133" s="1"/>
      <c r="C133" s="1"/>
      <c r="D133" s="1"/>
      <c r="E133" s="1"/>
      <c r="F133" s="1"/>
      <c r="G133" s="1"/>
      <c r="H13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2" max="5" style="26" width="9.140625"/>
    <col min="6" max="7" style="27" width="9.140625"/>
    <col min="8" max="9" style="28" width="9.140625"/>
    <col min="10" max="10" style="29" width="9.140625"/>
    <col min="11" max="11" style="28" width="9.140625"/>
    <col min="13" max="17" style="26" width="9.140625"/>
    <col min="18" max="18" style="29" width="9.140625"/>
  </cols>
  <sheetData>
    <row r="1" ht="14.25">
      <c r="A1" s="30"/>
      <c r="B1" s="31" t="s">
        <v>43</v>
      </c>
      <c r="C1" s="31" t="s">
        <v>44</v>
      </c>
      <c r="D1" s="31" t="s">
        <v>45</v>
      </c>
      <c r="E1" s="32"/>
      <c r="F1" s="33">
        <v>1</v>
      </c>
      <c r="G1" s="33">
        <v>2</v>
      </c>
      <c r="H1" s="34">
        <v>3</v>
      </c>
      <c r="I1" s="34">
        <v>4</v>
      </c>
      <c r="J1" s="33" t="s">
        <v>46</v>
      </c>
      <c r="K1" s="34" t="s">
        <v>47</v>
      </c>
    </row>
    <row r="2" ht="14.25">
      <c r="A2" s="30">
        <v>1</v>
      </c>
      <c r="B2" s="35">
        <v>0.155</v>
      </c>
      <c r="C2" s="35">
        <v>0.54500000000000004</v>
      </c>
      <c r="D2" s="35">
        <v>0.25</v>
      </c>
      <c r="E2" s="32"/>
      <c r="F2" s="36">
        <v>19.507999999999999</v>
      </c>
      <c r="G2" s="36">
        <v>0.69599999999999995</v>
      </c>
      <c r="H2" s="37">
        <v>78.962999999999994</v>
      </c>
      <c r="I2" s="37">
        <v>0.83299999999999996</v>
      </c>
      <c r="J2" s="38">
        <f t="shared" ref="J2:J9" si="4">F2+G2</f>
        <v>20.204000000000001</v>
      </c>
      <c r="K2" s="37">
        <f t="shared" ref="K2:K9" si="5">H2+I2</f>
        <v>79.795999999999992</v>
      </c>
    </row>
    <row r="3" ht="14.25">
      <c r="A3" s="30">
        <v>1</v>
      </c>
      <c r="B3" s="35">
        <v>0.155</v>
      </c>
      <c r="C3" s="35">
        <v>0.84499999999999997</v>
      </c>
      <c r="D3" s="35">
        <v>0.25</v>
      </c>
      <c r="E3" s="32"/>
      <c r="F3" s="36">
        <v>26.085999999999999</v>
      </c>
      <c r="G3" s="36">
        <v>26.419</v>
      </c>
      <c r="H3" s="37">
        <v>46.661999999999999</v>
      </c>
      <c r="I3" s="37">
        <v>0.83299999999999996</v>
      </c>
      <c r="J3" s="38">
        <f t="shared" si="4"/>
        <v>52.504999999999995</v>
      </c>
      <c r="K3" s="37">
        <f t="shared" si="5"/>
        <v>47.494999999999997</v>
      </c>
      <c r="S3" s="26"/>
    </row>
    <row r="4" ht="14.25">
      <c r="A4" s="30">
        <v>1</v>
      </c>
      <c r="B4" s="35">
        <v>0.155</v>
      </c>
      <c r="C4" s="35">
        <v>1.5449999999999999</v>
      </c>
      <c r="D4" s="35">
        <v>0.25</v>
      </c>
      <c r="E4" s="32"/>
      <c r="F4" s="36">
        <v>74.570999999999998</v>
      </c>
      <c r="G4" s="36">
        <v>0.97999999999999998</v>
      </c>
      <c r="H4" s="37">
        <v>23.614999999999998</v>
      </c>
      <c r="I4" s="37">
        <v>0.83299999999999996</v>
      </c>
      <c r="J4" s="38">
        <f t="shared" si="4"/>
        <v>75.551000000000002</v>
      </c>
      <c r="K4" s="37">
        <f t="shared" si="5"/>
        <v>24.447999999999997</v>
      </c>
    </row>
    <row r="5" ht="14.25">
      <c r="A5" s="30">
        <v>1</v>
      </c>
      <c r="B5" s="35">
        <v>0.155</v>
      </c>
      <c r="C5" s="35">
        <v>0.84499999999999997</v>
      </c>
      <c r="D5" s="35">
        <v>1.75</v>
      </c>
      <c r="E5" s="32"/>
      <c r="F5" s="36">
        <v>66.924999999999997</v>
      </c>
      <c r="G5" s="36">
        <v>17.675000000000001</v>
      </c>
      <c r="H5" s="37">
        <v>14.567</v>
      </c>
      <c r="I5" s="37">
        <v>0.83299999999999996</v>
      </c>
      <c r="J5" s="38">
        <f t="shared" si="4"/>
        <v>84.599999999999994</v>
      </c>
      <c r="K5" s="37">
        <f t="shared" si="5"/>
        <v>15.4</v>
      </c>
    </row>
    <row r="6" ht="14.25">
      <c r="A6" s="30">
        <v>1</v>
      </c>
      <c r="B6" s="35">
        <v>0.155</v>
      </c>
      <c r="C6" s="35">
        <v>0.84499999999999997</v>
      </c>
      <c r="D6" s="35">
        <v>0.5</v>
      </c>
      <c r="E6" s="32"/>
      <c r="F6" s="36">
        <v>35.085000000000001</v>
      </c>
      <c r="G6" s="36">
        <v>28.527000000000001</v>
      </c>
      <c r="H6" s="37">
        <v>35.555</v>
      </c>
      <c r="I6" s="37">
        <v>0.83299999999999996</v>
      </c>
      <c r="J6" s="38">
        <f t="shared" si="4"/>
        <v>63.612000000000002</v>
      </c>
      <c r="K6" s="37">
        <f t="shared" si="5"/>
        <v>36.387999999999998</v>
      </c>
    </row>
    <row r="7" ht="14.25">
      <c r="A7" s="30">
        <v>1</v>
      </c>
      <c r="B7" s="35">
        <v>0.155</v>
      </c>
      <c r="C7" s="35">
        <v>0</v>
      </c>
      <c r="D7" s="35">
        <v>0.10000000000000001</v>
      </c>
      <c r="E7" s="32"/>
      <c r="F7" s="36">
        <v>15.685</v>
      </c>
      <c r="G7" s="36">
        <v>0.157</v>
      </c>
      <c r="H7" s="37">
        <v>83.325000000000003</v>
      </c>
      <c r="I7" s="37">
        <v>0.83299999999999996</v>
      </c>
      <c r="J7" s="38">
        <f t="shared" si="4"/>
        <v>15.842000000000001</v>
      </c>
      <c r="K7" s="37">
        <f t="shared" si="5"/>
        <v>84.158000000000001</v>
      </c>
    </row>
    <row r="8" ht="14.25">
      <c r="A8" s="30">
        <v>1</v>
      </c>
      <c r="B8" s="35">
        <v>0.155</v>
      </c>
      <c r="C8" s="35">
        <v>0.84499999999999997</v>
      </c>
      <c r="D8" s="35">
        <v>0.10000000000000001</v>
      </c>
      <c r="E8" s="32"/>
      <c r="F8" s="36">
        <v>19.850999999999999</v>
      </c>
      <c r="G8" s="36">
        <v>18.164999999999999</v>
      </c>
      <c r="H8" s="37">
        <v>61.151000000000003</v>
      </c>
      <c r="I8" s="37">
        <v>0.83299999999999996</v>
      </c>
      <c r="J8" s="38">
        <f t="shared" si="4"/>
        <v>38.015999999999998</v>
      </c>
      <c r="K8" s="37">
        <f t="shared" si="5"/>
        <v>61.984000000000002</v>
      </c>
    </row>
    <row r="9" ht="14.25">
      <c r="A9" s="30">
        <v>1</v>
      </c>
      <c r="B9" s="35">
        <v>0.155</v>
      </c>
      <c r="C9" s="35">
        <v>0.54500000000000004</v>
      </c>
      <c r="D9" s="35">
        <v>0.25</v>
      </c>
      <c r="E9" s="39" t="s">
        <v>48</v>
      </c>
      <c r="F9" s="36">
        <v>18.959</v>
      </c>
      <c r="G9" s="36">
        <v>1.2450000000000001</v>
      </c>
      <c r="H9" s="37">
        <v>71.835999999999999</v>
      </c>
      <c r="I9" s="37">
        <v>7.96</v>
      </c>
      <c r="J9" s="38">
        <f t="shared" si="4"/>
        <v>20.204000000000001</v>
      </c>
      <c r="K9" s="37">
        <f t="shared" si="5"/>
        <v>79.795999999999992</v>
      </c>
    </row>
    <row r="10" ht="14.25">
      <c r="A10" s="30">
        <v>1</v>
      </c>
      <c r="B10" s="35">
        <v>0.155</v>
      </c>
      <c r="C10" s="35">
        <v>0.84499999999999997</v>
      </c>
      <c r="D10" s="35">
        <v>0.25</v>
      </c>
      <c r="E10" s="39" t="s">
        <v>48</v>
      </c>
      <c r="F10" s="36">
        <v>24.390000000000001</v>
      </c>
      <c r="G10" s="36">
        <v>28.468</v>
      </c>
      <c r="H10" s="37">
        <v>38.427999999999997</v>
      </c>
      <c r="I10" s="37">
        <v>8.7149999999999999</v>
      </c>
      <c r="J10" s="38">
        <f t="shared" ref="J10:J57" si="6">F10+G10</f>
        <v>52.858000000000004</v>
      </c>
      <c r="K10" s="37">
        <f t="shared" ref="K10:K57" si="7">H10+I10</f>
        <v>47.143000000000001</v>
      </c>
    </row>
    <row r="11" ht="14.25">
      <c r="A11" s="30">
        <v>1</v>
      </c>
      <c r="B11" s="35">
        <v>0.155</v>
      </c>
      <c r="C11" s="35">
        <v>1.5449999999999999</v>
      </c>
      <c r="D11" s="35">
        <v>0.25</v>
      </c>
      <c r="E11" s="39" t="s">
        <v>48</v>
      </c>
      <c r="F11" s="36">
        <v>62.238999999999997</v>
      </c>
      <c r="G11" s="36">
        <v>13.311999999999999</v>
      </c>
      <c r="H11" s="37">
        <v>14.664999999999999</v>
      </c>
      <c r="I11" s="37">
        <v>9.7829999999999995</v>
      </c>
      <c r="J11" s="38">
        <f t="shared" si="6"/>
        <v>75.551000000000002</v>
      </c>
      <c r="K11" s="37">
        <f t="shared" si="7"/>
        <v>24.448</v>
      </c>
    </row>
    <row r="12" ht="14.25">
      <c r="A12" s="30">
        <v>1</v>
      </c>
      <c r="B12" s="35">
        <v>0.155</v>
      </c>
      <c r="C12" s="35">
        <v>0.84499999999999997</v>
      </c>
      <c r="D12" s="35">
        <v>1.75</v>
      </c>
      <c r="E12" s="39" t="s">
        <v>48</v>
      </c>
      <c r="F12" s="36">
        <v>63.326999999999998</v>
      </c>
      <c r="G12" s="36">
        <v>20.861000000000001</v>
      </c>
      <c r="H12" s="37">
        <v>5.9109999999999996</v>
      </c>
      <c r="I12" s="37">
        <v>9.9009999999999998</v>
      </c>
      <c r="J12" s="38">
        <f t="shared" si="6"/>
        <v>84.188000000000002</v>
      </c>
      <c r="K12" s="37">
        <f t="shared" si="7"/>
        <v>15.811999999999999</v>
      </c>
    </row>
    <row r="13" ht="14.25">
      <c r="A13" s="30">
        <v>1</v>
      </c>
      <c r="B13" s="35">
        <v>0.155</v>
      </c>
      <c r="C13" s="35">
        <v>0.84499999999999997</v>
      </c>
      <c r="D13" s="35">
        <v>0.5</v>
      </c>
      <c r="E13" s="39" t="s">
        <v>48</v>
      </c>
      <c r="F13" s="36">
        <v>32.850000000000001</v>
      </c>
      <c r="G13" s="36">
        <v>30.879000000000001</v>
      </c>
      <c r="H13" s="37">
        <v>26.497</v>
      </c>
      <c r="I13" s="37">
        <v>9.7739999999999991</v>
      </c>
      <c r="J13" s="38">
        <f t="shared" si="6"/>
        <v>63.728999999999999</v>
      </c>
      <c r="K13" s="37">
        <f t="shared" si="7"/>
        <v>36.271000000000001</v>
      </c>
    </row>
    <row r="14" ht="14.25">
      <c r="A14" s="30">
        <v>1</v>
      </c>
      <c r="B14" s="35">
        <v>0.155</v>
      </c>
      <c r="C14" s="35">
        <v>0</v>
      </c>
      <c r="D14" s="35">
        <v>0.10000000000000001</v>
      </c>
      <c r="E14" s="39" t="s">
        <v>48</v>
      </c>
      <c r="F14" s="36">
        <v>15.685</v>
      </c>
      <c r="G14" s="36">
        <v>0.157</v>
      </c>
      <c r="H14" s="37">
        <v>76.757000000000005</v>
      </c>
      <c r="I14" s="37">
        <v>7.4009999999999998</v>
      </c>
      <c r="J14" s="38">
        <f t="shared" si="6"/>
        <v>15.842000000000001</v>
      </c>
      <c r="K14" s="37">
        <f t="shared" si="7"/>
        <v>84.158000000000001</v>
      </c>
    </row>
    <row r="15" ht="14.25">
      <c r="A15" s="30">
        <v>1</v>
      </c>
      <c r="B15" s="35">
        <v>0.155</v>
      </c>
      <c r="C15" s="35">
        <v>0.84499999999999997</v>
      </c>
      <c r="D15" s="35">
        <v>0.10000000000000001</v>
      </c>
      <c r="E15" s="39" t="s">
        <v>48</v>
      </c>
      <c r="F15" s="36">
        <v>18.733000000000001</v>
      </c>
      <c r="G15" s="36">
        <v>20.106000000000002</v>
      </c>
      <c r="H15" s="37">
        <v>53.240000000000002</v>
      </c>
      <c r="I15" s="37">
        <v>7.9210000000000003</v>
      </c>
      <c r="J15" s="38">
        <f t="shared" si="6"/>
        <v>38.838999999999999</v>
      </c>
      <c r="K15" s="37">
        <f t="shared" si="7"/>
        <v>61.161000000000001</v>
      </c>
    </row>
    <row r="16" ht="14.25">
      <c r="A16" s="30">
        <v>2</v>
      </c>
      <c r="B16" s="35">
        <v>0.155</v>
      </c>
      <c r="C16" s="35">
        <v>0.54500000000000004</v>
      </c>
      <c r="D16" s="35">
        <v>0.25</v>
      </c>
      <c r="E16" s="32"/>
      <c r="F16" s="36">
        <v>21.771999999999998</v>
      </c>
      <c r="G16" s="36">
        <v>0.69599999999999995</v>
      </c>
      <c r="H16" s="37">
        <v>0.29399999999999998</v>
      </c>
      <c r="I16" s="37">
        <v>77.238</v>
      </c>
      <c r="J16" s="38">
        <f t="shared" si="6"/>
        <v>22.468</v>
      </c>
      <c r="K16" s="37">
        <f t="shared" si="7"/>
        <v>77.531999999999996</v>
      </c>
    </row>
    <row r="17" ht="14.25">
      <c r="A17" s="30">
        <v>2</v>
      </c>
      <c r="B17" s="35">
        <v>0.155</v>
      </c>
      <c r="C17" s="35">
        <v>0.84499999999999997</v>
      </c>
      <c r="D17" s="35">
        <v>0.25</v>
      </c>
      <c r="E17" s="32"/>
      <c r="F17" s="36">
        <v>25.968</v>
      </c>
      <c r="G17" s="36">
        <v>0.97999999999999998</v>
      </c>
      <c r="H17" s="37">
        <v>0.01</v>
      </c>
      <c r="I17" s="37">
        <v>73.042000000000002</v>
      </c>
      <c r="J17" s="38">
        <f t="shared" si="6"/>
        <v>26.948</v>
      </c>
      <c r="K17" s="37">
        <f t="shared" si="7"/>
        <v>73.052000000000007</v>
      </c>
    </row>
    <row r="18" ht="14.25">
      <c r="A18" s="30">
        <v>2</v>
      </c>
      <c r="B18" s="35">
        <v>0.155</v>
      </c>
      <c r="C18" s="35">
        <v>1.5449999999999999</v>
      </c>
      <c r="D18" s="35">
        <v>0.25</v>
      </c>
      <c r="E18" s="32"/>
      <c r="F18" s="36">
        <v>31.654</v>
      </c>
      <c r="G18" s="36">
        <v>0.97999999999999998</v>
      </c>
      <c r="H18" s="37">
        <v>0.01</v>
      </c>
      <c r="I18" s="37">
        <v>67.355999999999995</v>
      </c>
      <c r="J18" s="38">
        <f t="shared" si="6"/>
        <v>32.634</v>
      </c>
      <c r="K18" s="37">
        <f t="shared" si="7"/>
        <v>67.366</v>
      </c>
    </row>
    <row r="19" ht="14.25">
      <c r="A19" s="30">
        <v>2</v>
      </c>
      <c r="B19" s="35">
        <v>0.155</v>
      </c>
      <c r="C19" s="35">
        <v>0.84499999999999997</v>
      </c>
      <c r="D19" s="35">
        <v>1.75</v>
      </c>
      <c r="E19" s="32"/>
      <c r="F19" s="36">
        <v>61.170000000000002</v>
      </c>
      <c r="G19" s="36">
        <v>0.97999999999999998</v>
      </c>
      <c r="H19" s="37">
        <v>0.01</v>
      </c>
      <c r="I19" s="37">
        <v>37.838999999999999</v>
      </c>
      <c r="J19" s="38">
        <f t="shared" si="6"/>
        <v>62.149999999999999</v>
      </c>
      <c r="K19" s="37">
        <f t="shared" si="7"/>
        <v>37.848999999999997</v>
      </c>
    </row>
    <row r="20" ht="14.25">
      <c r="A20" s="30">
        <v>2</v>
      </c>
      <c r="B20" s="35">
        <v>0.155</v>
      </c>
      <c r="C20" s="35">
        <v>0.84499999999999997</v>
      </c>
      <c r="D20" s="35">
        <v>0.5</v>
      </c>
      <c r="E20" s="32"/>
      <c r="F20" s="36">
        <v>34.810000000000002</v>
      </c>
      <c r="G20" s="36">
        <v>0.97999999999999998</v>
      </c>
      <c r="H20" s="37">
        <v>0.01</v>
      </c>
      <c r="I20" s="37">
        <v>64.200000000000003</v>
      </c>
      <c r="J20" s="38">
        <f t="shared" si="6"/>
        <v>35.789999999999999</v>
      </c>
      <c r="K20" s="37">
        <f t="shared" si="7"/>
        <v>64.210000000000008</v>
      </c>
    </row>
    <row r="21" ht="14.25">
      <c r="A21" s="30">
        <v>2</v>
      </c>
      <c r="B21" s="35">
        <v>0.155</v>
      </c>
      <c r="C21" s="35">
        <v>0</v>
      </c>
      <c r="D21" s="35">
        <v>0.10000000000000001</v>
      </c>
      <c r="E21" s="32"/>
      <c r="F21" s="36">
        <v>15.685</v>
      </c>
      <c r="G21" s="36">
        <v>0.157</v>
      </c>
      <c r="H21" s="37">
        <v>0.83299999999999996</v>
      </c>
      <c r="I21" s="37">
        <v>83.325000000000003</v>
      </c>
      <c r="J21" s="38">
        <f t="shared" si="6"/>
        <v>15.842000000000001</v>
      </c>
      <c r="K21" s="37">
        <f t="shared" si="7"/>
        <v>84.158000000000001</v>
      </c>
    </row>
    <row r="22" ht="14.25">
      <c r="A22" s="30">
        <v>2</v>
      </c>
      <c r="B22" s="35">
        <v>0.155</v>
      </c>
      <c r="C22" s="35">
        <v>0.84499999999999997</v>
      </c>
      <c r="D22" s="35">
        <v>0.10000000000000001</v>
      </c>
      <c r="E22" s="32"/>
      <c r="F22" s="36">
        <v>19.831</v>
      </c>
      <c r="G22" s="36">
        <v>0.97999999999999998</v>
      </c>
      <c r="H22" s="37">
        <v>0.01</v>
      </c>
      <c r="I22" s="37">
        <v>79.179000000000002</v>
      </c>
      <c r="J22" s="38">
        <f t="shared" si="6"/>
        <v>20.811</v>
      </c>
      <c r="K22" s="37">
        <f t="shared" si="7"/>
        <v>79.189000000000007</v>
      </c>
    </row>
    <row r="23" ht="14.25">
      <c r="A23" s="30">
        <v>2</v>
      </c>
      <c r="B23" s="35">
        <v>0.155</v>
      </c>
      <c r="C23" s="35">
        <v>0.54500000000000004</v>
      </c>
      <c r="D23" s="35">
        <v>0.25</v>
      </c>
      <c r="E23" s="39" t="s">
        <v>48</v>
      </c>
      <c r="F23" s="36">
        <v>21.645</v>
      </c>
      <c r="G23" s="36">
        <v>0.82299999999999995</v>
      </c>
      <c r="H23" s="37">
        <v>0.29399999999999998</v>
      </c>
      <c r="I23" s="37">
        <v>77.238</v>
      </c>
      <c r="J23" s="38">
        <f t="shared" si="6"/>
        <v>22.468</v>
      </c>
      <c r="K23" s="37">
        <f t="shared" si="7"/>
        <v>77.531999999999996</v>
      </c>
    </row>
    <row r="24" ht="14.25">
      <c r="A24" s="30">
        <v>2</v>
      </c>
      <c r="B24" s="35">
        <v>0.155</v>
      </c>
      <c r="C24" s="35">
        <v>0.84499999999999997</v>
      </c>
      <c r="D24" s="35">
        <v>0.25</v>
      </c>
      <c r="E24" s="39" t="s">
        <v>48</v>
      </c>
      <c r="F24" s="36">
        <v>25.968</v>
      </c>
      <c r="G24" s="36">
        <v>0.97999999999999998</v>
      </c>
      <c r="H24" s="37">
        <v>0.01</v>
      </c>
      <c r="I24" s="37">
        <v>73.042000000000002</v>
      </c>
      <c r="J24" s="38">
        <f t="shared" si="6"/>
        <v>26.948</v>
      </c>
      <c r="K24" s="37">
        <f t="shared" si="7"/>
        <v>73.052000000000007</v>
      </c>
    </row>
    <row r="25" ht="14.25">
      <c r="A25" s="30">
        <v>2</v>
      </c>
      <c r="B25" s="35">
        <v>0.155</v>
      </c>
      <c r="C25" s="35">
        <v>1.5449999999999999</v>
      </c>
      <c r="D25" s="35">
        <v>0.25</v>
      </c>
      <c r="E25" s="39" t="s">
        <v>48</v>
      </c>
      <c r="F25" s="36">
        <v>31.654</v>
      </c>
      <c r="G25" s="36">
        <v>0.97999999999999998</v>
      </c>
      <c r="H25" s="37">
        <v>0.01</v>
      </c>
      <c r="I25" s="37">
        <v>67.355999999999995</v>
      </c>
      <c r="J25" s="38">
        <f t="shared" si="6"/>
        <v>32.634</v>
      </c>
      <c r="K25" s="37">
        <f t="shared" si="7"/>
        <v>67.366</v>
      </c>
    </row>
    <row r="26" ht="14.25">
      <c r="A26" s="30">
        <v>2</v>
      </c>
      <c r="B26" s="35">
        <v>0.155</v>
      </c>
      <c r="C26" s="35">
        <v>0.84499999999999997</v>
      </c>
      <c r="D26" s="35">
        <v>1.75</v>
      </c>
      <c r="E26" s="39" t="s">
        <v>48</v>
      </c>
      <c r="F26" s="36">
        <v>60.866999999999997</v>
      </c>
      <c r="G26" s="36">
        <v>0.97999999999999998</v>
      </c>
      <c r="H26" s="37">
        <v>0.01</v>
      </c>
      <c r="I26" s="37">
        <v>38.143000000000001</v>
      </c>
      <c r="J26" s="38">
        <f t="shared" si="6"/>
        <v>61.846999999999994</v>
      </c>
      <c r="K26" s="37">
        <f t="shared" si="7"/>
        <v>38.152999999999999</v>
      </c>
    </row>
    <row r="27" ht="14.25">
      <c r="A27" s="30">
        <v>2</v>
      </c>
      <c r="B27" s="35">
        <v>0.155</v>
      </c>
      <c r="C27" s="35">
        <v>0.84499999999999997</v>
      </c>
      <c r="D27" s="35">
        <v>0.5</v>
      </c>
      <c r="E27" s="39" t="s">
        <v>48</v>
      </c>
      <c r="F27" s="36">
        <v>34.801000000000002</v>
      </c>
      <c r="G27" s="36">
        <v>0.97999999999999998</v>
      </c>
      <c r="H27" s="37">
        <v>0.01</v>
      </c>
      <c r="I27" s="37">
        <v>64.209000000000003</v>
      </c>
      <c r="J27" s="38">
        <f t="shared" si="6"/>
        <v>35.780999999999999</v>
      </c>
      <c r="K27" s="37">
        <f t="shared" si="7"/>
        <v>64.219000000000008</v>
      </c>
    </row>
    <row r="28" ht="14.25">
      <c r="A28" s="30">
        <v>2</v>
      </c>
      <c r="B28" s="35">
        <v>0.155</v>
      </c>
      <c r="C28" s="35">
        <v>0</v>
      </c>
      <c r="D28" s="35">
        <v>0.10000000000000001</v>
      </c>
      <c r="E28" s="39" t="s">
        <v>48</v>
      </c>
      <c r="F28" s="36">
        <v>15.685</v>
      </c>
      <c r="G28" s="36">
        <v>0.157</v>
      </c>
      <c r="H28" s="37">
        <v>0.83299999999999996</v>
      </c>
      <c r="I28" s="37">
        <v>83.325000000000003</v>
      </c>
      <c r="J28" s="38">
        <f t="shared" si="6"/>
        <v>15.842000000000001</v>
      </c>
      <c r="K28" s="37">
        <f t="shared" si="7"/>
        <v>84.158000000000001</v>
      </c>
    </row>
    <row r="29" ht="14.25">
      <c r="A29" s="30">
        <v>2</v>
      </c>
      <c r="B29" s="35">
        <v>0.155</v>
      </c>
      <c r="C29" s="35">
        <v>0.84499999999999997</v>
      </c>
      <c r="D29" s="35">
        <v>0.10000000000000001</v>
      </c>
      <c r="E29" s="39" t="s">
        <v>48</v>
      </c>
      <c r="F29" s="36">
        <v>19.831</v>
      </c>
      <c r="G29" s="36">
        <v>0.97999999999999998</v>
      </c>
      <c r="H29" s="37">
        <v>0.01</v>
      </c>
      <c r="I29" s="37">
        <v>79.179000000000002</v>
      </c>
      <c r="J29" s="38">
        <f t="shared" si="6"/>
        <v>20.811</v>
      </c>
      <c r="K29" s="37">
        <f t="shared" si="7"/>
        <v>79.189000000000007</v>
      </c>
    </row>
    <row r="30" ht="14.25">
      <c r="A30" s="30">
        <v>3</v>
      </c>
      <c r="B30" s="35">
        <v>0.155</v>
      </c>
      <c r="C30" s="35">
        <v>0.54500000000000004</v>
      </c>
      <c r="D30" s="35">
        <v>0.25</v>
      </c>
      <c r="E30" s="32"/>
      <c r="F30" s="36">
        <v>24.056000000000001</v>
      </c>
      <c r="G30" s="36">
        <v>0.69599999999999995</v>
      </c>
      <c r="H30" s="37">
        <v>74.414000000000001</v>
      </c>
      <c r="I30" s="37">
        <v>0.83299999999999996</v>
      </c>
      <c r="J30" s="38">
        <f t="shared" si="6"/>
        <v>24.752000000000002</v>
      </c>
      <c r="K30" s="37">
        <f t="shared" si="7"/>
        <v>75.247</v>
      </c>
    </row>
    <row r="31" ht="14.25">
      <c r="A31" s="30">
        <v>3</v>
      </c>
      <c r="B31" s="35">
        <v>0.155</v>
      </c>
      <c r="C31" s="35">
        <v>0.84499999999999997</v>
      </c>
      <c r="D31" s="35">
        <v>0.25</v>
      </c>
      <c r="E31" s="32"/>
      <c r="F31" s="36">
        <v>33.143999999999998</v>
      </c>
      <c r="G31" s="36">
        <v>32.594999999999999</v>
      </c>
      <c r="H31" s="37">
        <v>33.427999999999997</v>
      </c>
      <c r="I31" s="37">
        <v>0.83299999999999996</v>
      </c>
      <c r="J31" s="38">
        <f t="shared" si="6"/>
        <v>65.739000000000004</v>
      </c>
      <c r="K31" s="37">
        <f t="shared" si="7"/>
        <v>34.260999999999996</v>
      </c>
    </row>
    <row r="32" ht="14.25">
      <c r="A32" s="30">
        <v>3</v>
      </c>
      <c r="B32" s="35">
        <v>0.155</v>
      </c>
      <c r="C32" s="35">
        <v>1.5449999999999999</v>
      </c>
      <c r="D32" s="35">
        <v>0.25</v>
      </c>
      <c r="E32" s="32"/>
      <c r="F32" s="36">
        <v>89.471999999999994</v>
      </c>
      <c r="G32" s="36">
        <v>0.97999999999999998</v>
      </c>
      <c r="H32" s="37">
        <v>8.7149999999999999</v>
      </c>
      <c r="I32" s="37">
        <v>0.83299999999999996</v>
      </c>
      <c r="J32" s="38">
        <f t="shared" si="6"/>
        <v>90.451999999999998</v>
      </c>
      <c r="K32" s="37">
        <f t="shared" si="7"/>
        <v>9.548</v>
      </c>
    </row>
    <row r="33" ht="14.25">
      <c r="A33" s="30">
        <v>3</v>
      </c>
      <c r="B33" s="35">
        <v>0.155</v>
      </c>
      <c r="C33" s="35">
        <v>0.84499999999999997</v>
      </c>
      <c r="D33" s="35">
        <v>1.75</v>
      </c>
      <c r="E33" s="32"/>
      <c r="F33" s="36">
        <v>76.599999999999994</v>
      </c>
      <c r="G33" s="36">
        <v>18.606000000000002</v>
      </c>
      <c r="H33" s="37">
        <v>3.96</v>
      </c>
      <c r="I33" s="37">
        <v>0.83299999999999996</v>
      </c>
      <c r="J33" s="38">
        <f t="shared" si="6"/>
        <v>95.205999999999989</v>
      </c>
      <c r="K33" s="37">
        <f t="shared" si="7"/>
        <v>4.7930000000000001</v>
      </c>
    </row>
    <row r="34" ht="14.25">
      <c r="A34" s="30">
        <v>3</v>
      </c>
      <c r="B34" s="35">
        <v>0.155</v>
      </c>
      <c r="C34" s="35">
        <v>0.84499999999999997</v>
      </c>
      <c r="D34" s="35">
        <v>0.5</v>
      </c>
      <c r="E34" s="32"/>
      <c r="F34" s="36">
        <v>46.270000000000003</v>
      </c>
      <c r="G34" s="36">
        <v>33.055999999999997</v>
      </c>
      <c r="H34" s="37">
        <v>19.841000000000001</v>
      </c>
      <c r="I34" s="37">
        <v>0.83299999999999996</v>
      </c>
      <c r="J34" s="38">
        <f t="shared" si="6"/>
        <v>79.325999999999993</v>
      </c>
      <c r="K34" s="37">
        <f t="shared" si="7"/>
        <v>20.673999999999999</v>
      </c>
    </row>
    <row r="35" ht="14.25">
      <c r="A35" s="30">
        <v>3</v>
      </c>
      <c r="B35" s="35">
        <v>0.155</v>
      </c>
      <c r="C35" s="35">
        <v>0</v>
      </c>
      <c r="D35" s="35">
        <v>0.10000000000000001</v>
      </c>
      <c r="E35" s="32"/>
      <c r="F35" s="36">
        <v>15.685</v>
      </c>
      <c r="G35" s="36">
        <v>0.157</v>
      </c>
      <c r="H35" s="37">
        <v>83.325000000000003</v>
      </c>
      <c r="I35" s="37">
        <v>0.83299999999999996</v>
      </c>
      <c r="J35" s="38">
        <f t="shared" si="6"/>
        <v>15.842000000000001</v>
      </c>
      <c r="K35" s="37">
        <f t="shared" si="7"/>
        <v>84.158000000000001</v>
      </c>
    </row>
    <row r="36" ht="14.25">
      <c r="A36" s="30">
        <v>3</v>
      </c>
      <c r="B36" s="35">
        <v>0.155</v>
      </c>
      <c r="C36" s="35">
        <v>0.84499999999999997</v>
      </c>
      <c r="D36" s="35">
        <v>0.10000000000000001</v>
      </c>
      <c r="E36" s="32"/>
      <c r="F36" s="36">
        <v>23.096</v>
      </c>
      <c r="G36" s="36">
        <v>23.488</v>
      </c>
      <c r="H36" s="37">
        <v>52.582999999999998</v>
      </c>
      <c r="I36" s="37">
        <v>0.83299999999999996</v>
      </c>
      <c r="J36" s="38">
        <f t="shared" si="6"/>
        <v>46.584000000000003</v>
      </c>
      <c r="K36" s="37">
        <f t="shared" si="7"/>
        <v>53.415999999999997</v>
      </c>
    </row>
    <row r="37" ht="14.25">
      <c r="A37" s="30">
        <v>3</v>
      </c>
      <c r="B37" s="35">
        <v>0.155</v>
      </c>
      <c r="C37" s="35">
        <v>0.54500000000000004</v>
      </c>
      <c r="D37" s="35">
        <v>0.25</v>
      </c>
      <c r="E37" s="39" t="s">
        <v>48</v>
      </c>
      <c r="F37" s="36">
        <v>23.957999999999998</v>
      </c>
      <c r="G37" s="36">
        <v>0.80400000000000005</v>
      </c>
      <c r="H37" s="37">
        <v>73.933999999999997</v>
      </c>
      <c r="I37" s="37">
        <v>1.304</v>
      </c>
      <c r="J37" s="38">
        <f t="shared" si="6"/>
        <v>24.761999999999997</v>
      </c>
      <c r="K37" s="37">
        <f t="shared" si="7"/>
        <v>75.238</v>
      </c>
    </row>
    <row r="38" ht="14.25">
      <c r="A38" s="30">
        <v>3</v>
      </c>
      <c r="B38" s="35">
        <v>0.155</v>
      </c>
      <c r="C38" s="35">
        <v>0.84499999999999997</v>
      </c>
      <c r="D38" s="35">
        <v>0.25</v>
      </c>
      <c r="E38" s="39" t="s">
        <v>48</v>
      </c>
      <c r="F38" s="36">
        <v>31.614999999999998</v>
      </c>
      <c r="G38" s="36">
        <v>34.487000000000002</v>
      </c>
      <c r="H38" s="37">
        <v>32.564999999999998</v>
      </c>
      <c r="I38" s="37">
        <v>1.333</v>
      </c>
      <c r="J38" s="38">
        <f t="shared" si="6"/>
        <v>66.102000000000004</v>
      </c>
      <c r="K38" s="37">
        <f t="shared" si="7"/>
        <v>33.897999999999996</v>
      </c>
    </row>
    <row r="39" ht="14.25">
      <c r="A39" s="30">
        <v>3</v>
      </c>
      <c r="B39" s="35">
        <v>0.155</v>
      </c>
      <c r="C39" s="35">
        <v>1.5449999999999999</v>
      </c>
      <c r="D39" s="35">
        <v>0.25</v>
      </c>
      <c r="E39" s="39" t="s">
        <v>48</v>
      </c>
      <c r="F39" s="36">
        <v>74.668999999999997</v>
      </c>
      <c r="G39" s="36">
        <v>15.782999999999999</v>
      </c>
      <c r="H39" s="37">
        <v>8.1660000000000004</v>
      </c>
      <c r="I39" s="37">
        <v>1.3819999999999999</v>
      </c>
      <c r="J39" s="38">
        <f t="shared" si="6"/>
        <v>90.451999999999998</v>
      </c>
      <c r="K39" s="37">
        <f t="shared" si="7"/>
        <v>9.548</v>
      </c>
    </row>
    <row r="40" ht="14.25">
      <c r="A40" s="30">
        <v>3</v>
      </c>
      <c r="B40" s="35">
        <v>0.155</v>
      </c>
      <c r="C40" s="35">
        <v>0.84499999999999997</v>
      </c>
      <c r="D40" s="35">
        <v>1.75</v>
      </c>
      <c r="E40" s="39" t="s">
        <v>48</v>
      </c>
      <c r="F40" s="36">
        <v>73.120000000000005</v>
      </c>
      <c r="G40" s="36">
        <v>22.047000000000001</v>
      </c>
      <c r="H40" s="37">
        <v>3.7450000000000001</v>
      </c>
      <c r="I40" s="37">
        <v>1.0880000000000001</v>
      </c>
      <c r="J40" s="38">
        <f t="shared" si="6"/>
        <v>95.167000000000002</v>
      </c>
      <c r="K40" s="37">
        <f t="shared" si="7"/>
        <v>4.8330000000000002</v>
      </c>
    </row>
    <row r="41" ht="14.25">
      <c r="A41" s="30">
        <v>3</v>
      </c>
      <c r="B41" s="35">
        <v>0.155</v>
      </c>
      <c r="C41" s="35">
        <v>0.84499999999999997</v>
      </c>
      <c r="D41" s="35">
        <v>0.5</v>
      </c>
      <c r="E41" s="39" t="s">
        <v>48</v>
      </c>
      <c r="F41" s="36">
        <v>44.045000000000002</v>
      </c>
      <c r="G41" s="36">
        <v>35.448</v>
      </c>
      <c r="H41" s="37">
        <v>19.184000000000001</v>
      </c>
      <c r="I41" s="37">
        <v>1.323</v>
      </c>
      <c r="J41" s="38">
        <f t="shared" si="6"/>
        <v>79.492999999999995</v>
      </c>
      <c r="K41" s="37">
        <f t="shared" si="7"/>
        <v>20.507000000000001</v>
      </c>
    </row>
    <row r="42" ht="14.25">
      <c r="A42" s="30">
        <v>3</v>
      </c>
      <c r="B42" s="35">
        <v>0.155</v>
      </c>
      <c r="C42" s="35">
        <v>0</v>
      </c>
      <c r="D42" s="35">
        <v>0.10000000000000001</v>
      </c>
      <c r="E42" s="39" t="s">
        <v>48</v>
      </c>
      <c r="F42" s="36">
        <v>15.685</v>
      </c>
      <c r="G42" s="36">
        <v>0.157</v>
      </c>
      <c r="H42" s="37">
        <v>82.992000000000004</v>
      </c>
      <c r="I42" s="37">
        <v>1.167</v>
      </c>
      <c r="J42" s="38">
        <f t="shared" si="6"/>
        <v>15.842000000000001</v>
      </c>
      <c r="K42" s="37">
        <f t="shared" si="7"/>
        <v>84.159000000000006</v>
      </c>
    </row>
    <row r="43" ht="14.25">
      <c r="A43" s="30">
        <v>3</v>
      </c>
      <c r="B43" s="35">
        <v>0.155</v>
      </c>
      <c r="C43" s="35">
        <v>0.84499999999999997</v>
      </c>
      <c r="D43" s="35">
        <v>0.10000000000000001</v>
      </c>
      <c r="E43" s="39" t="s">
        <v>48</v>
      </c>
      <c r="F43" s="36">
        <v>22.263000000000002</v>
      </c>
      <c r="G43" s="36">
        <v>25.262</v>
      </c>
      <c r="H43" s="37">
        <v>51.289000000000001</v>
      </c>
      <c r="I43" s="37">
        <v>1.1859999999999999</v>
      </c>
      <c r="J43" s="38">
        <f t="shared" si="6"/>
        <v>47.525000000000006</v>
      </c>
      <c r="K43" s="37">
        <f t="shared" si="7"/>
        <v>52.475000000000001</v>
      </c>
    </row>
    <row r="44" ht="14.25">
      <c r="A44" s="30">
        <v>4</v>
      </c>
      <c r="B44" s="35">
        <v>0.155</v>
      </c>
      <c r="C44" s="35">
        <v>0.54500000000000004</v>
      </c>
      <c r="D44" s="35">
        <v>0.25</v>
      </c>
      <c r="E44" s="32"/>
      <c r="F44" s="36">
        <v>47.034999999999997</v>
      </c>
      <c r="G44" s="36">
        <v>0.69599999999999995</v>
      </c>
      <c r="H44" s="37">
        <v>0.29399999999999998</v>
      </c>
      <c r="I44" s="37">
        <v>51.975000000000001</v>
      </c>
      <c r="J44" s="38">
        <f t="shared" si="6"/>
        <v>47.730999999999995</v>
      </c>
      <c r="K44" s="37">
        <f t="shared" si="7"/>
        <v>52.268999999999998</v>
      </c>
    </row>
    <row r="45" ht="14.25">
      <c r="A45" s="30">
        <v>4</v>
      </c>
      <c r="B45" s="35">
        <v>0.155</v>
      </c>
      <c r="C45" s="35">
        <v>0.84499999999999997</v>
      </c>
      <c r="D45" s="35">
        <v>0.25</v>
      </c>
      <c r="E45" s="32"/>
      <c r="F45" s="36">
        <v>55.317999999999998</v>
      </c>
      <c r="G45" s="36">
        <v>0.97999999999999998</v>
      </c>
      <c r="H45" s="37">
        <v>0.01</v>
      </c>
      <c r="I45" s="37">
        <v>43.692</v>
      </c>
      <c r="J45" s="38">
        <f t="shared" si="6"/>
        <v>56.297999999999995</v>
      </c>
      <c r="K45" s="37">
        <f t="shared" si="7"/>
        <v>43.701999999999998</v>
      </c>
    </row>
    <row r="46" ht="14.25">
      <c r="A46" s="30">
        <v>4</v>
      </c>
      <c r="B46" s="35">
        <v>0.155</v>
      </c>
      <c r="C46" s="35">
        <v>1.5449999999999999</v>
      </c>
      <c r="D46" s="35">
        <v>0.25</v>
      </c>
      <c r="E46" s="32"/>
      <c r="F46" s="36">
        <v>61.072000000000003</v>
      </c>
      <c r="G46" s="36">
        <v>0.97999999999999998</v>
      </c>
      <c r="H46" s="37">
        <v>0.01</v>
      </c>
      <c r="I46" s="37">
        <v>37.936999999999998</v>
      </c>
      <c r="J46" s="38">
        <f t="shared" si="6"/>
        <v>62.052</v>
      </c>
      <c r="K46" s="37">
        <f t="shared" si="7"/>
        <v>37.946999999999996</v>
      </c>
    </row>
    <row r="47" ht="14.25">
      <c r="A47" s="30">
        <v>4</v>
      </c>
      <c r="B47" s="35">
        <v>0.155</v>
      </c>
      <c r="C47" s="35">
        <v>0.84499999999999997</v>
      </c>
      <c r="D47" s="35">
        <v>1.75</v>
      </c>
      <c r="E47" s="32"/>
      <c r="F47" s="36">
        <v>71.709000000000003</v>
      </c>
      <c r="G47" s="36">
        <v>0.97999999999999998</v>
      </c>
      <c r="H47" s="37">
        <v>0.01</v>
      </c>
      <c r="I47" s="37">
        <v>27.300999999999998</v>
      </c>
      <c r="J47" s="38">
        <f t="shared" si="6"/>
        <v>72.689000000000007</v>
      </c>
      <c r="K47" s="37">
        <f t="shared" si="7"/>
        <v>27.311</v>
      </c>
    </row>
    <row r="48" ht="14.25">
      <c r="A48" s="30">
        <v>4</v>
      </c>
      <c r="B48" s="35">
        <v>0.155</v>
      </c>
      <c r="C48" s="35">
        <v>0.84499999999999997</v>
      </c>
      <c r="D48" s="35">
        <v>0.5</v>
      </c>
      <c r="E48" s="32"/>
      <c r="F48" s="36">
        <v>62.014000000000003</v>
      </c>
      <c r="G48" s="36">
        <v>0.97999999999999998</v>
      </c>
      <c r="H48" s="37">
        <v>0.01</v>
      </c>
      <c r="I48" s="37">
        <v>36.996000000000002</v>
      </c>
      <c r="J48" s="38">
        <f t="shared" si="6"/>
        <v>62.994</v>
      </c>
      <c r="K48" s="37">
        <f t="shared" si="7"/>
        <v>37.006</v>
      </c>
    </row>
    <row r="49" ht="14.25">
      <c r="A49" s="30">
        <v>4</v>
      </c>
      <c r="B49" s="35">
        <v>0.155</v>
      </c>
      <c r="C49" s="35">
        <v>0</v>
      </c>
      <c r="D49" s="35">
        <v>0.10000000000000001</v>
      </c>
      <c r="E49" s="32"/>
      <c r="F49" s="36">
        <v>15.685</v>
      </c>
      <c r="G49" s="36">
        <v>0.157</v>
      </c>
      <c r="H49" s="37">
        <v>0.83299999999999996</v>
      </c>
      <c r="I49" s="37">
        <v>83.325000000000003</v>
      </c>
      <c r="J49" s="38">
        <f t="shared" si="6"/>
        <v>15.842000000000001</v>
      </c>
      <c r="K49" s="37">
        <f t="shared" si="7"/>
        <v>84.158000000000001</v>
      </c>
    </row>
    <row r="50" ht="14.25">
      <c r="A50" s="30">
        <v>4</v>
      </c>
      <c r="B50" s="35">
        <v>0.155</v>
      </c>
      <c r="C50" s="35">
        <v>0.84499999999999997</v>
      </c>
      <c r="D50" s="35">
        <v>0.10000000000000001</v>
      </c>
      <c r="E50" s="32"/>
      <c r="F50" s="36">
        <v>45.368000000000002</v>
      </c>
      <c r="G50" s="36">
        <v>0.97999999999999998</v>
      </c>
      <c r="H50" s="37">
        <v>0.01</v>
      </c>
      <c r="I50" s="37">
        <v>53.642000000000003</v>
      </c>
      <c r="J50" s="38">
        <f t="shared" si="6"/>
        <v>46.347999999999999</v>
      </c>
      <c r="K50" s="37">
        <f t="shared" si="7"/>
        <v>53.652000000000001</v>
      </c>
    </row>
    <row r="51" ht="14.25">
      <c r="A51" s="30">
        <v>4</v>
      </c>
      <c r="B51" s="35">
        <v>0.155</v>
      </c>
      <c r="C51" s="35">
        <v>0.54500000000000004</v>
      </c>
      <c r="D51" s="35">
        <v>0.25</v>
      </c>
      <c r="E51" s="39" t="s">
        <v>48</v>
      </c>
      <c r="F51" s="36">
        <v>33.015999999999998</v>
      </c>
      <c r="G51" s="36">
        <v>14.773</v>
      </c>
      <c r="H51" s="37">
        <v>0.84299999999999997</v>
      </c>
      <c r="I51" s="37">
        <v>51.368000000000002</v>
      </c>
      <c r="J51" s="38">
        <f t="shared" si="6"/>
        <v>47.789000000000001</v>
      </c>
      <c r="K51" s="37">
        <f t="shared" si="7"/>
        <v>52.210999999999999</v>
      </c>
    </row>
    <row r="52" ht="14.25">
      <c r="A52" s="30">
        <v>4</v>
      </c>
      <c r="B52" s="35">
        <v>0.155</v>
      </c>
      <c r="C52" s="35">
        <v>0.84499999999999997</v>
      </c>
      <c r="D52" s="35">
        <v>0.25</v>
      </c>
      <c r="E52" s="39" t="s">
        <v>48</v>
      </c>
      <c r="F52" s="36">
        <v>49.593000000000004</v>
      </c>
      <c r="G52" s="36">
        <v>6.7050000000000001</v>
      </c>
      <c r="H52" s="37">
        <v>0.01</v>
      </c>
      <c r="I52" s="37">
        <v>43.692</v>
      </c>
      <c r="J52" s="38">
        <f t="shared" si="6"/>
        <v>56.298000000000002</v>
      </c>
      <c r="K52" s="37">
        <f t="shared" si="7"/>
        <v>43.701999999999998</v>
      </c>
    </row>
    <row r="53" ht="14.25">
      <c r="A53" s="30">
        <v>4</v>
      </c>
      <c r="B53" s="35">
        <v>0.155</v>
      </c>
      <c r="C53" s="35">
        <v>1.5449999999999999</v>
      </c>
      <c r="D53" s="35">
        <v>0.25</v>
      </c>
      <c r="E53" s="39" t="s">
        <v>48</v>
      </c>
      <c r="F53" s="36">
        <v>60.837000000000003</v>
      </c>
      <c r="G53" s="36">
        <v>1.216</v>
      </c>
      <c r="H53" s="37">
        <v>0.01</v>
      </c>
      <c r="I53" s="37">
        <v>37.936999999999998</v>
      </c>
      <c r="J53" s="38">
        <f t="shared" si="6"/>
        <v>62.053000000000004</v>
      </c>
      <c r="K53" s="37">
        <f t="shared" si="7"/>
        <v>37.946999999999996</v>
      </c>
    </row>
    <row r="54" ht="14.25">
      <c r="A54" s="30">
        <v>4</v>
      </c>
      <c r="B54" s="35">
        <v>0.155</v>
      </c>
      <c r="C54" s="35">
        <v>0.84499999999999997</v>
      </c>
      <c r="D54" s="35">
        <v>1.75</v>
      </c>
      <c r="E54" s="39" t="s">
        <v>48</v>
      </c>
      <c r="F54" s="36">
        <v>69.885000000000005</v>
      </c>
      <c r="G54" s="36">
        <v>2.7250000000000001</v>
      </c>
      <c r="H54" s="37">
        <v>0.01</v>
      </c>
      <c r="I54" s="37">
        <v>27.379999999999999</v>
      </c>
      <c r="J54" s="38">
        <f t="shared" si="6"/>
        <v>72.609999999999999</v>
      </c>
      <c r="K54" s="37">
        <f t="shared" si="7"/>
        <v>27.390000000000001</v>
      </c>
    </row>
    <row r="55" ht="14.25">
      <c r="A55" s="30">
        <v>4</v>
      </c>
      <c r="B55" s="35">
        <v>0.155</v>
      </c>
      <c r="C55" s="35">
        <v>0.84499999999999997</v>
      </c>
      <c r="D55" s="35">
        <v>0.5</v>
      </c>
      <c r="E55" s="39" t="s">
        <v>48</v>
      </c>
      <c r="F55" s="36">
        <v>58.670999999999999</v>
      </c>
      <c r="G55" s="36">
        <v>4.3230000000000004</v>
      </c>
      <c r="H55" s="37">
        <v>0.01</v>
      </c>
      <c r="I55" s="37">
        <v>36.996000000000002</v>
      </c>
      <c r="J55" s="38">
        <f t="shared" si="6"/>
        <v>62.994</v>
      </c>
      <c r="K55" s="37">
        <f t="shared" si="7"/>
        <v>37.006</v>
      </c>
    </row>
    <row r="56" ht="14.25">
      <c r="A56" s="30">
        <v>4</v>
      </c>
      <c r="B56" s="35">
        <v>0.155</v>
      </c>
      <c r="C56" s="35">
        <v>0</v>
      </c>
      <c r="D56" s="35">
        <v>0.10000000000000001</v>
      </c>
      <c r="E56" s="39" t="s">
        <v>48</v>
      </c>
      <c r="F56" s="36">
        <v>15.685</v>
      </c>
      <c r="G56" s="36">
        <v>0.157</v>
      </c>
      <c r="H56" s="37">
        <v>3.9510000000000001</v>
      </c>
      <c r="I56" s="37">
        <v>80.207999999999998</v>
      </c>
      <c r="J56" s="38">
        <f t="shared" si="6"/>
        <v>15.842000000000001</v>
      </c>
      <c r="K56" s="37">
        <f t="shared" si="7"/>
        <v>84.158999999999992</v>
      </c>
    </row>
    <row r="57" ht="14.25">
      <c r="A57" s="30">
        <v>4</v>
      </c>
      <c r="B57" s="35">
        <v>0.155</v>
      </c>
      <c r="C57" s="35">
        <v>0.84499999999999997</v>
      </c>
      <c r="D57" s="35">
        <v>0.10000000000000001</v>
      </c>
      <c r="E57" s="39" t="s">
        <v>48</v>
      </c>
      <c r="F57" s="36">
        <v>34.771000000000001</v>
      </c>
      <c r="G57" s="36">
        <v>11.577</v>
      </c>
      <c r="H57" s="37">
        <v>0.01</v>
      </c>
      <c r="I57" s="37">
        <v>53.642000000000003</v>
      </c>
      <c r="J57" s="38">
        <f t="shared" si="6"/>
        <v>46.347999999999999</v>
      </c>
      <c r="K57" s="37">
        <f t="shared" si="7"/>
        <v>53.652000000000001</v>
      </c>
    </row>
    <row r="60" ht="14.25">
      <c r="D60" s="26">
        <f>$E7</f>
        <v>0</v>
      </c>
      <c r="E60" s="26">
        <f>$A7</f>
        <v>1</v>
      </c>
      <c r="F60" s="40">
        <f>$C7</f>
        <v>0</v>
      </c>
      <c r="G60" s="41">
        <f>$J7</f>
        <v>15.842000000000001</v>
      </c>
      <c r="H60" s="28"/>
    </row>
    <row r="61" ht="14.25">
      <c r="D61" s="26">
        <f t="shared" ref="D61:D63" si="8">$E2</f>
        <v>0</v>
      </c>
      <c r="E61" s="26">
        <f t="shared" ref="E61:E63" si="9">$A2</f>
        <v>1</v>
      </c>
      <c r="F61" s="40">
        <f t="shared" ref="F61:F63" si="10">$C2</f>
        <v>0.54500000000000004</v>
      </c>
      <c r="G61" s="41">
        <f t="shared" ref="G61:G63" si="11">$J2</f>
        <v>20.204000000000001</v>
      </c>
      <c r="H61" s="28"/>
      <c r="I61" s="28"/>
    </row>
    <row r="62" ht="14.25">
      <c r="D62" s="26">
        <f t="shared" si="8"/>
        <v>0</v>
      </c>
      <c r="E62" s="26">
        <f t="shared" si="9"/>
        <v>1</v>
      </c>
      <c r="F62" s="40">
        <f t="shared" si="10"/>
        <v>0.84499999999999997</v>
      </c>
      <c r="G62" s="41">
        <f t="shared" si="11"/>
        <v>52.504999999999995</v>
      </c>
      <c r="H62" s="28"/>
      <c r="I62" s="28"/>
    </row>
    <row r="63" ht="14.25">
      <c r="D63" s="26">
        <f t="shared" si="8"/>
        <v>0</v>
      </c>
      <c r="E63" s="26">
        <f t="shared" si="9"/>
        <v>1</v>
      </c>
      <c r="F63" s="40">
        <f t="shared" si="10"/>
        <v>1.5449999999999999</v>
      </c>
      <c r="G63" s="41">
        <f t="shared" si="11"/>
        <v>75.551000000000002</v>
      </c>
      <c r="H63" s="28"/>
      <c r="I63" s="28"/>
    </row>
    <row r="64" ht="14.25">
      <c r="D64" s="26" t="str">
        <f>$E14</f>
        <v xml:space="preserve"> FSE</v>
      </c>
      <c r="E64" s="26">
        <f>$A14</f>
        <v>1</v>
      </c>
      <c r="F64" s="40">
        <f>$C14</f>
        <v>0</v>
      </c>
      <c r="G64" s="41">
        <f>$J14</f>
        <v>15.842000000000001</v>
      </c>
      <c r="H64" s="28"/>
      <c r="I64" s="28"/>
    </row>
    <row r="65" ht="14.25">
      <c r="D65" s="26" t="str">
        <f>$E9</f>
        <v xml:space="preserve"> FSE</v>
      </c>
      <c r="E65" s="26">
        <f>$A9</f>
        <v>1</v>
      </c>
      <c r="F65" s="40">
        <f>$C9</f>
        <v>0.54500000000000004</v>
      </c>
      <c r="G65" s="41">
        <f>$J9</f>
        <v>20.204000000000001</v>
      </c>
      <c r="H65" s="28"/>
      <c r="I65" s="28"/>
    </row>
    <row r="66" ht="14.25">
      <c r="D66" s="26" t="str">
        <f t="shared" ref="D66:D67" si="12">$E10</f>
        <v xml:space="preserve"> FSE</v>
      </c>
      <c r="E66" s="26">
        <f t="shared" ref="E66:E67" si="13">$A10</f>
        <v>1</v>
      </c>
      <c r="F66" s="40">
        <f t="shared" ref="F66:F67" si="14">$C10</f>
        <v>0.84499999999999997</v>
      </c>
      <c r="G66" s="41">
        <f t="shared" ref="G66:G67" si="15">$J10</f>
        <v>52.858000000000004</v>
      </c>
      <c r="H66" s="28"/>
      <c r="I66" s="28"/>
    </row>
    <row r="67" ht="14.25">
      <c r="D67" s="26" t="str">
        <f t="shared" si="12"/>
        <v xml:space="preserve"> FSE</v>
      </c>
      <c r="E67" s="26">
        <f t="shared" si="13"/>
        <v>1</v>
      </c>
      <c r="F67" s="40">
        <f t="shared" si="14"/>
        <v>1.5449999999999999</v>
      </c>
      <c r="G67" s="41">
        <f t="shared" si="15"/>
        <v>75.551000000000002</v>
      </c>
      <c r="H67" s="28"/>
      <c r="I67" s="28"/>
    </row>
    <row r="68" ht="14.25">
      <c r="D68" s="26">
        <f>$E21</f>
        <v>0</v>
      </c>
      <c r="E68" s="26">
        <f>$A21</f>
        <v>2</v>
      </c>
      <c r="F68" s="40">
        <v>0</v>
      </c>
      <c r="G68" s="41">
        <f>$J21</f>
        <v>15.842000000000001</v>
      </c>
      <c r="H68" s="28"/>
      <c r="I68" s="28"/>
    </row>
    <row r="69" ht="14.25">
      <c r="D69" s="26">
        <f t="shared" ref="D69:D71" si="16">$E16</f>
        <v>0</v>
      </c>
      <c r="E69" s="26">
        <f t="shared" ref="E69:E71" si="17">$A16</f>
        <v>2</v>
      </c>
      <c r="F69" s="40">
        <v>0.54500000000000004</v>
      </c>
      <c r="G69" s="41">
        <f t="shared" ref="G69:G71" si="18">$J16</f>
        <v>22.468</v>
      </c>
      <c r="H69" s="28"/>
      <c r="I69" s="28"/>
    </row>
    <row r="70" ht="14.25">
      <c r="D70" s="26">
        <f t="shared" si="16"/>
        <v>0</v>
      </c>
      <c r="E70" s="26">
        <f t="shared" si="17"/>
        <v>2</v>
      </c>
      <c r="F70" s="40">
        <v>0.84499999999999997</v>
      </c>
      <c r="G70" s="41">
        <f t="shared" si="18"/>
        <v>26.948</v>
      </c>
      <c r="H70" s="28"/>
      <c r="I70" s="28"/>
    </row>
    <row r="71" ht="14.25">
      <c r="D71" s="26">
        <f t="shared" si="16"/>
        <v>0</v>
      </c>
      <c r="E71" s="26">
        <f t="shared" si="17"/>
        <v>2</v>
      </c>
      <c r="F71" s="40">
        <v>1.5449999999999999</v>
      </c>
      <c r="G71" s="41">
        <f t="shared" si="18"/>
        <v>32.634</v>
      </c>
      <c r="H71" s="41"/>
      <c r="I71" s="28"/>
    </row>
    <row r="72" ht="14.25">
      <c r="D72" s="26" t="str">
        <f>$E28</f>
        <v xml:space="preserve"> FSE</v>
      </c>
      <c r="E72" s="26">
        <f>$A28</f>
        <v>2</v>
      </c>
      <c r="F72" s="40">
        <f>$D28</f>
        <v>0.10000000000000001</v>
      </c>
      <c r="G72" s="41">
        <f>$J28</f>
        <v>15.842000000000001</v>
      </c>
      <c r="H72" s="41"/>
      <c r="I72" s="28"/>
    </row>
    <row r="73" ht="14.25">
      <c r="D73" s="26" t="str">
        <f t="shared" ref="D73:D75" si="19">$E23</f>
        <v xml:space="preserve"> FSE</v>
      </c>
      <c r="E73" s="26">
        <f t="shared" ref="E73:E75" si="20">$A23</f>
        <v>2</v>
      </c>
      <c r="F73" s="40">
        <f t="shared" ref="F73:F75" si="21">$D23</f>
        <v>0.25</v>
      </c>
      <c r="G73" s="41">
        <f t="shared" ref="G73:G75" si="22">$J23</f>
        <v>22.468</v>
      </c>
      <c r="H73" s="28"/>
      <c r="I73" s="28"/>
    </row>
    <row r="74" ht="14.25">
      <c r="D74" s="26" t="str">
        <f t="shared" si="19"/>
        <v xml:space="preserve"> FSE</v>
      </c>
      <c r="E74" s="26">
        <f t="shared" si="20"/>
        <v>2</v>
      </c>
      <c r="F74" s="40">
        <f t="shared" si="21"/>
        <v>0.25</v>
      </c>
      <c r="G74" s="41">
        <f t="shared" si="22"/>
        <v>26.948</v>
      </c>
      <c r="H74" s="41"/>
      <c r="I74" s="28"/>
    </row>
    <row r="75" ht="14.25">
      <c r="D75" s="26" t="str">
        <f t="shared" si="19"/>
        <v xml:space="preserve"> FSE</v>
      </c>
      <c r="E75" s="26">
        <f t="shared" si="20"/>
        <v>2</v>
      </c>
      <c r="F75" s="40">
        <f t="shared" si="21"/>
        <v>0.25</v>
      </c>
      <c r="G75" s="41">
        <f t="shared" si="22"/>
        <v>32.634</v>
      </c>
      <c r="H75" s="41"/>
      <c r="I75" s="28"/>
    </row>
    <row r="76" ht="14.25">
      <c r="D76" s="26">
        <f>$E35</f>
        <v>0</v>
      </c>
      <c r="E76" s="26">
        <f>$A35</f>
        <v>3</v>
      </c>
      <c r="F76" s="40">
        <f>$C35</f>
        <v>0</v>
      </c>
      <c r="G76" s="41">
        <f>$J35</f>
        <v>15.842000000000001</v>
      </c>
      <c r="H76" s="28"/>
      <c r="I76" s="28"/>
    </row>
    <row r="77" ht="14.25">
      <c r="D77" s="26">
        <f t="shared" ref="D77:D79" si="23">$E30</f>
        <v>0</v>
      </c>
      <c r="E77" s="26">
        <f t="shared" ref="E77:E79" si="24">$A30</f>
        <v>3</v>
      </c>
      <c r="F77" s="40">
        <f t="shared" ref="F77:F79" si="25">$C30</f>
        <v>0.54500000000000004</v>
      </c>
      <c r="G77" s="41">
        <f t="shared" ref="G77:G79" si="26">$J30</f>
        <v>24.752000000000002</v>
      </c>
      <c r="H77" s="28"/>
      <c r="I77" s="28"/>
    </row>
    <row r="78" ht="14.25">
      <c r="D78" s="26">
        <f t="shared" si="23"/>
        <v>0</v>
      </c>
      <c r="E78" s="26">
        <f t="shared" si="24"/>
        <v>3</v>
      </c>
      <c r="F78" s="40">
        <f t="shared" si="25"/>
        <v>0.84499999999999997</v>
      </c>
      <c r="G78" s="41">
        <f t="shared" si="26"/>
        <v>65.739000000000004</v>
      </c>
      <c r="H78" s="28"/>
      <c r="I78" s="28"/>
    </row>
    <row r="79" ht="14.25">
      <c r="D79" s="26">
        <f t="shared" si="23"/>
        <v>0</v>
      </c>
      <c r="E79" s="26">
        <f t="shared" si="24"/>
        <v>3</v>
      </c>
      <c r="F79" s="40">
        <f t="shared" si="25"/>
        <v>1.5449999999999999</v>
      </c>
      <c r="G79" s="41">
        <f t="shared" si="26"/>
        <v>90.451999999999998</v>
      </c>
      <c r="H79" s="28"/>
      <c r="I79" s="28"/>
    </row>
    <row r="80" ht="14.25">
      <c r="D80" s="26" t="str">
        <f>$E42</f>
        <v xml:space="preserve"> FSE</v>
      </c>
      <c r="E80" s="26">
        <f>$A42</f>
        <v>3</v>
      </c>
      <c r="F80" s="40">
        <f>$C42</f>
        <v>0</v>
      </c>
      <c r="G80" s="41">
        <f>$J42</f>
        <v>15.842000000000001</v>
      </c>
      <c r="H80" s="28"/>
      <c r="I80" s="28"/>
    </row>
    <row r="81" ht="14.25">
      <c r="D81" s="26" t="str">
        <f t="shared" ref="D81:D83" si="27">$E37</f>
        <v xml:space="preserve"> FSE</v>
      </c>
      <c r="E81" s="26">
        <f t="shared" ref="E81:E83" si="28">$A37</f>
        <v>3</v>
      </c>
      <c r="F81" s="40">
        <f t="shared" ref="F81:F83" si="29">$C37</f>
        <v>0.54500000000000004</v>
      </c>
      <c r="G81" s="41">
        <f t="shared" ref="G81:G83" si="30">$J37</f>
        <v>24.761999999999997</v>
      </c>
      <c r="H81" s="28"/>
      <c r="I81" s="28"/>
    </row>
    <row r="82" ht="14.25">
      <c r="D82" s="26" t="str">
        <f t="shared" si="27"/>
        <v xml:space="preserve"> FSE</v>
      </c>
      <c r="E82" s="26">
        <f t="shared" si="28"/>
        <v>3</v>
      </c>
      <c r="F82" s="40">
        <f t="shared" si="29"/>
        <v>0.84499999999999997</v>
      </c>
      <c r="G82" s="41">
        <f t="shared" si="30"/>
        <v>66.102000000000004</v>
      </c>
      <c r="H82" s="28"/>
      <c r="I82" s="28"/>
    </row>
    <row r="83" ht="14.25">
      <c r="D83" s="26" t="str">
        <f t="shared" si="27"/>
        <v xml:space="preserve"> FSE</v>
      </c>
      <c r="E83" s="26">
        <f t="shared" si="28"/>
        <v>3</v>
      </c>
      <c r="F83" s="40">
        <f t="shared" si="29"/>
        <v>1.5449999999999999</v>
      </c>
      <c r="G83" s="41">
        <f t="shared" si="30"/>
        <v>90.451999999999998</v>
      </c>
      <c r="H83" s="28"/>
      <c r="I83" s="28"/>
    </row>
    <row r="84" ht="14.25">
      <c r="D84" s="26">
        <f>$E49</f>
        <v>0</v>
      </c>
      <c r="E84" s="26">
        <f>$A49</f>
        <v>4</v>
      </c>
      <c r="F84" s="40">
        <f>$C49</f>
        <v>0</v>
      </c>
      <c r="G84" s="41">
        <f>$J49</f>
        <v>15.842000000000001</v>
      </c>
      <c r="H84" s="28"/>
      <c r="I84" s="28"/>
    </row>
    <row r="85" ht="14.25">
      <c r="D85" s="26">
        <f t="shared" ref="D85:D87" si="31">$E44</f>
        <v>0</v>
      </c>
      <c r="E85" s="26">
        <f t="shared" ref="E85:E87" si="32">$A44</f>
        <v>4</v>
      </c>
      <c r="F85" s="40">
        <f t="shared" ref="F85:F87" si="33">$C44</f>
        <v>0.54500000000000004</v>
      </c>
      <c r="G85" s="41">
        <f t="shared" ref="G85:G87" si="34">$J44</f>
        <v>47.730999999999995</v>
      </c>
      <c r="H85" s="28"/>
      <c r="I85" s="28"/>
    </row>
    <row r="86" ht="14.25">
      <c r="D86" s="26">
        <f t="shared" si="31"/>
        <v>0</v>
      </c>
      <c r="E86" s="26">
        <f t="shared" si="32"/>
        <v>4</v>
      </c>
      <c r="F86" s="40">
        <f t="shared" si="33"/>
        <v>0.84499999999999997</v>
      </c>
      <c r="G86" s="41">
        <f t="shared" si="34"/>
        <v>56.297999999999995</v>
      </c>
      <c r="H86" s="28"/>
      <c r="I86" s="28"/>
    </row>
    <row r="87" ht="14.25">
      <c r="D87" s="26">
        <f t="shared" si="31"/>
        <v>0</v>
      </c>
      <c r="E87" s="26">
        <f t="shared" si="32"/>
        <v>4</v>
      </c>
      <c r="F87" s="40">
        <f t="shared" si="33"/>
        <v>1.5449999999999999</v>
      </c>
      <c r="G87" s="41">
        <f t="shared" si="34"/>
        <v>62.052</v>
      </c>
      <c r="H87" s="41"/>
      <c r="I87" s="28"/>
    </row>
    <row r="88" ht="14.25">
      <c r="D88" s="26" t="str">
        <f>$E56</f>
        <v xml:space="preserve"> FSE</v>
      </c>
      <c r="E88" s="26">
        <f>$A56</f>
        <v>4</v>
      </c>
      <c r="F88" s="40">
        <f>$C56</f>
        <v>0</v>
      </c>
      <c r="G88" s="41">
        <f>$J56</f>
        <v>15.842000000000001</v>
      </c>
      <c r="H88" s="41"/>
      <c r="I88" s="28"/>
    </row>
    <row r="89" ht="14.25">
      <c r="D89" s="26" t="str">
        <f t="shared" ref="D89:D91" si="35">$E51</f>
        <v xml:space="preserve"> FSE</v>
      </c>
      <c r="E89" s="26">
        <f t="shared" ref="E89:E91" si="36">$A51</f>
        <v>4</v>
      </c>
      <c r="F89" s="40">
        <f t="shared" ref="F89:F91" si="37">$C51</f>
        <v>0.54500000000000004</v>
      </c>
      <c r="G89" s="41">
        <f t="shared" ref="G89:G91" si="38">$J51</f>
        <v>47.789000000000001</v>
      </c>
      <c r="H89" s="28"/>
      <c r="I89" s="28"/>
    </row>
    <row r="90" ht="14.25">
      <c r="D90" s="26" t="str">
        <f t="shared" si="35"/>
        <v xml:space="preserve"> FSE</v>
      </c>
      <c r="E90" s="26">
        <f t="shared" si="36"/>
        <v>4</v>
      </c>
      <c r="F90" s="40">
        <f t="shared" si="37"/>
        <v>0.84499999999999997</v>
      </c>
      <c r="G90" s="41">
        <f t="shared" si="38"/>
        <v>56.298000000000002</v>
      </c>
      <c r="H90" s="28"/>
      <c r="I90" s="28"/>
    </row>
    <row r="91" ht="14.25">
      <c r="D91" s="26" t="str">
        <f t="shared" si="35"/>
        <v xml:space="preserve"> FSE</v>
      </c>
      <c r="E91" s="26">
        <f t="shared" si="36"/>
        <v>4</v>
      </c>
      <c r="F91" s="40">
        <f t="shared" si="37"/>
        <v>1.5449999999999999</v>
      </c>
      <c r="G91" s="41">
        <f t="shared" si="38"/>
        <v>62.053000000000004</v>
      </c>
      <c r="H91" s="28"/>
      <c r="I91" s="28"/>
    </row>
    <row r="92" ht="14.25">
      <c r="D92" s="26"/>
      <c r="E92" s="26"/>
      <c r="F92" s="27"/>
      <c r="G92" s="27"/>
      <c r="H92" s="28"/>
      <c r="I92" s="28"/>
    </row>
    <row r="93" ht="14.25">
      <c r="D93" s="26"/>
      <c r="E93" s="26"/>
      <c r="F93" s="27"/>
      <c r="G93" s="27"/>
      <c r="H93" s="28"/>
    </row>
    <row r="94" ht="14.25">
      <c r="D94" s="26"/>
      <c r="E94" s="26"/>
      <c r="F94" s="27"/>
      <c r="G94" s="27"/>
      <c r="H94" s="28"/>
    </row>
    <row r="95" ht="14.25">
      <c r="D95" s="26"/>
      <c r="E95" s="26"/>
      <c r="F95" s="27"/>
      <c r="G95" s="27"/>
      <c r="H95" s="28"/>
    </row>
    <row r="96" ht="14.25">
      <c r="D96" s="26"/>
      <c r="E96" s="26"/>
      <c r="F96" s="27"/>
      <c r="G96" s="27"/>
      <c r="H96" s="28"/>
      <c r="I96" s="28"/>
    </row>
    <row r="97" ht="14.25">
      <c r="D97" s="26"/>
      <c r="E97" s="26"/>
      <c r="F97" s="27"/>
      <c r="G97" s="27"/>
      <c r="H97" s="28"/>
      <c r="I97" s="28"/>
    </row>
    <row r="98" ht="14.25">
      <c r="D98" s="26"/>
      <c r="E98" s="26"/>
      <c r="F98" s="27"/>
      <c r="G98" s="27"/>
      <c r="H98" s="28"/>
      <c r="I98" s="28"/>
    </row>
    <row r="99" ht="14.25">
      <c r="D99" s="26"/>
      <c r="E99" s="26"/>
      <c r="F99" s="27"/>
      <c r="G99" s="27"/>
      <c r="H99" s="28"/>
      <c r="I99" s="28"/>
    </row>
    <row r="100" ht="14.25">
      <c r="D100" s="26"/>
      <c r="E100" s="26"/>
      <c r="F100" s="27"/>
      <c r="G100" s="27"/>
      <c r="H100" s="28"/>
      <c r="I100" s="28"/>
    </row>
    <row r="101" ht="14.25">
      <c r="D101" s="26"/>
      <c r="E101" s="26"/>
      <c r="F101" s="27"/>
      <c r="G101" s="27"/>
      <c r="H101" s="41"/>
      <c r="I101" s="28"/>
    </row>
    <row r="102" ht="14.25">
      <c r="D102" s="26"/>
      <c r="E102" s="26"/>
      <c r="F102" s="27"/>
      <c r="G102" s="27"/>
      <c r="H102" s="41"/>
      <c r="I102" s="28"/>
    </row>
    <row r="103" ht="14.25">
      <c r="D103" s="26"/>
      <c r="E103" s="26"/>
      <c r="F103" s="27"/>
      <c r="G103" s="27"/>
      <c r="H103" s="28"/>
      <c r="I103" s="28"/>
    </row>
    <row r="104" ht="14.25">
      <c r="D104" s="26"/>
      <c r="E104" s="26"/>
      <c r="F104" s="27"/>
      <c r="G104" s="27"/>
      <c r="H104" s="28"/>
      <c r="I104" s="28"/>
    </row>
    <row r="105" ht="14.25">
      <c r="D105" s="26"/>
      <c r="E105" s="26"/>
      <c r="F105" s="27"/>
      <c r="G105" s="27"/>
      <c r="H105" s="28"/>
      <c r="I105" s="28"/>
    </row>
    <row r="106" ht="14.25">
      <c r="D106" s="26"/>
      <c r="E106" s="26"/>
      <c r="F106" s="27"/>
      <c r="G106" s="27"/>
      <c r="H106" s="28"/>
      <c r="I106" s="28"/>
    </row>
    <row r="107" ht="14.25">
      <c r="D107" s="26"/>
      <c r="E107" s="26"/>
      <c r="F107" s="27"/>
      <c r="G107" s="27"/>
      <c r="H107" s="28"/>
    </row>
    <row r="108" ht="14.25">
      <c r="D108" s="26"/>
      <c r="E108" s="26"/>
      <c r="F108" s="27"/>
      <c r="G108" s="27"/>
      <c r="H108" s="41"/>
    </row>
    <row r="109" ht="14.25">
      <c r="D109" s="26"/>
      <c r="E109" s="26"/>
      <c r="F109" s="42"/>
      <c r="G109" s="42"/>
      <c r="H109" s="41"/>
    </row>
    <row r="110" ht="14.25">
      <c r="D110" s="26"/>
      <c r="E110" s="26"/>
      <c r="F110" s="42"/>
      <c r="G110" s="42"/>
      <c r="H110" s="28"/>
    </row>
    <row r="111" ht="14.25">
      <c r="D111" s="26"/>
      <c r="E111" s="26"/>
      <c r="F111" s="27"/>
      <c r="G111" s="27"/>
      <c r="H111" s="28"/>
    </row>
    <row r="112" ht="14.25">
      <c r="D112" s="26"/>
      <c r="E112" s="26"/>
      <c r="F112" s="27"/>
      <c r="G112" s="27"/>
      <c r="H112" s="28"/>
    </row>
    <row r="113" ht="14.25">
      <c r="D113" s="26"/>
      <c r="E113" s="26"/>
      <c r="F113" s="27"/>
      <c r="G113" s="27"/>
      <c r="H113" s="28"/>
    </row>
    <row r="114" ht="14.25">
      <c r="D114" s="26"/>
      <c r="E114" s="26"/>
      <c r="F114" s="27"/>
      <c r="G114" s="27"/>
      <c r="H114" s="28"/>
    </row>
    <row r="115" ht="14.25">
      <c r="D115" s="26"/>
      <c r="E115" s="26"/>
      <c r="F115" s="27"/>
      <c r="G115" s="27"/>
      <c r="H115" s="41"/>
    </row>
    <row r="116" ht="14.25">
      <c r="D116" s="26"/>
      <c r="E116" s="26"/>
      <c r="F116" s="27"/>
      <c r="G116" s="27"/>
      <c r="H116" s="41"/>
    </row>
    <row r="117" ht="14.25">
      <c r="D117" s="26"/>
      <c r="E117" s="26"/>
      <c r="F117" s="27"/>
      <c r="G117" s="27"/>
      <c r="H117" s="28"/>
    </row>
    <row r="118" ht="14.25">
      <c r="D118" s="26"/>
      <c r="E118" s="26"/>
      <c r="F118" s="42"/>
      <c r="G118" s="42"/>
      <c r="H118" s="41"/>
    </row>
    <row r="119" ht="14.25">
      <c r="D119" s="26"/>
      <c r="E119" s="26"/>
      <c r="F119" s="27"/>
      <c r="G119" s="27"/>
      <c r="H119" s="28"/>
    </row>
    <row r="120" ht="14.25">
      <c r="D120" s="26"/>
      <c r="E120" s="26"/>
      <c r="F120" s="27"/>
      <c r="G120" s="27"/>
      <c r="H120" s="28"/>
    </row>
    <row r="121" ht="14.25">
      <c r="D121" s="26"/>
      <c r="E121" s="26"/>
      <c r="F121" s="27"/>
      <c r="G121" s="27"/>
      <c r="H121" s="28"/>
    </row>
    <row r="122" ht="14.25">
      <c r="D122" s="26"/>
      <c r="E122" s="26"/>
      <c r="F122" s="27"/>
      <c r="G122" s="27"/>
      <c r="H122" s="28"/>
    </row>
    <row r="123" ht="14.25">
      <c r="D123" s="26"/>
      <c r="E123" s="26"/>
      <c r="F123" s="27"/>
      <c r="G123" s="27"/>
      <c r="H123" s="28"/>
    </row>
    <row r="124" ht="14.25">
      <c r="D124" s="26"/>
      <c r="E124" s="26"/>
      <c r="F124" s="27"/>
      <c r="G124" s="27"/>
      <c r="H124" s="28"/>
    </row>
    <row r="125" ht="14.25">
      <c r="D125" s="26"/>
      <c r="E125" s="26"/>
      <c r="F125" s="27"/>
      <c r="G125" s="27"/>
      <c r="H125" s="28"/>
    </row>
    <row r="126" ht="14.25">
      <c r="D126" s="26"/>
      <c r="E126" s="26"/>
      <c r="F126" s="27"/>
      <c r="G126" s="27"/>
      <c r="H126" s="28"/>
    </row>
    <row r="127" ht="14.25">
      <c r="D127" s="26"/>
      <c r="E127" s="26"/>
      <c r="F127" s="27"/>
      <c r="G127" s="27"/>
      <c r="H127" s="28"/>
    </row>
    <row r="128" ht="14.25">
      <c r="D128" s="26"/>
      <c r="E128" s="26"/>
      <c r="F128" s="27"/>
      <c r="G128" s="27"/>
      <c r="H128" s="28"/>
    </row>
    <row r="129" ht="14.25">
      <c r="D129" s="26"/>
      <c r="E129" s="26"/>
      <c r="F129" s="27"/>
      <c r="G129" s="27"/>
      <c r="H129" s="28"/>
    </row>
    <row r="130" ht="14.25">
      <c r="D130" s="26"/>
      <c r="E130" s="26"/>
      <c r="F130" s="27"/>
      <c r="G130" s="27"/>
      <c r="H130" s="28"/>
    </row>
    <row r="131" ht="14.25">
      <c r="D131" s="26"/>
      <c r="E131" s="26"/>
      <c r="F131" s="27"/>
      <c r="G131" s="27"/>
      <c r="H131" s="28"/>
    </row>
    <row r="132" ht="14.25">
      <c r="D132" s="26"/>
      <c r="E132" s="26"/>
      <c r="F132" s="27"/>
      <c r="G132" s="27"/>
      <c r="H132" s="28"/>
    </row>
    <row r="133" ht="14.25">
      <c r="D133" s="26"/>
      <c r="E133" s="26"/>
      <c r="F133" s="27"/>
      <c r="G133" s="27"/>
      <c r="H133" s="28"/>
    </row>
    <row r="134" ht="14.25">
      <c r="D134" s="26"/>
      <c r="E134" s="26"/>
      <c r="F134" s="27"/>
      <c r="G134" s="27"/>
      <c r="H134" s="28"/>
    </row>
    <row r="135" ht="14.25">
      <c r="D135" s="26"/>
      <c r="E135" s="26"/>
      <c r="F135" s="27"/>
      <c r="G135" s="27"/>
      <c r="H135" s="28"/>
    </row>
    <row r="136" ht="14.25">
      <c r="D136" s="26"/>
      <c r="E136" s="26"/>
      <c r="F136" s="27"/>
      <c r="G136" s="27"/>
      <c r="H136" s="28"/>
    </row>
    <row r="137" ht="14.25">
      <c r="D137" s="26"/>
      <c r="E137" s="26"/>
      <c r="F137" s="27"/>
      <c r="G137" s="27"/>
      <c r="H137" s="28"/>
    </row>
    <row r="138" ht="14.25">
      <c r="D138" s="26"/>
      <c r="E138" s="26"/>
      <c r="F138" s="27"/>
      <c r="G138" s="27"/>
      <c r="H138" s="28"/>
    </row>
    <row r="139" ht="14.25">
      <c r="D139" s="26"/>
      <c r="E139" s="26"/>
      <c r="F139" s="27"/>
      <c r="G139" s="27"/>
      <c r="H139" s="28"/>
    </row>
    <row r="140" ht="14.25">
      <c r="D140" s="26"/>
      <c r="E140" s="26"/>
      <c r="F140" s="27"/>
      <c r="G140" s="27"/>
      <c r="H140" s="28"/>
    </row>
    <row r="141" ht="14.25">
      <c r="D141" s="26"/>
      <c r="E141" s="26"/>
      <c r="F141" s="27"/>
      <c r="G141" s="27"/>
      <c r="H141" s="28"/>
    </row>
    <row r="142" ht="14.25">
      <c r="D142" s="26"/>
      <c r="E142" s="26"/>
      <c r="F142" s="27"/>
      <c r="G142" s="27"/>
      <c r="H142" s="28"/>
    </row>
    <row r="143" ht="14.25">
      <c r="D143" s="26"/>
      <c r="E143" s="26"/>
      <c r="F143" s="27"/>
      <c r="G143" s="27"/>
      <c r="H143" s="28"/>
    </row>
    <row r="144" ht="14.25">
      <c r="D144" s="26"/>
      <c r="E144" s="26"/>
      <c r="F144" s="27"/>
      <c r="G144" s="27"/>
      <c r="H144" s="28"/>
    </row>
    <row r="145" ht="14.25">
      <c r="D145" s="26"/>
      <c r="E145" s="26"/>
      <c r="F145" s="27"/>
      <c r="G145" s="27"/>
      <c r="H145" s="28"/>
    </row>
    <row r="146" ht="14.25">
      <c r="D146" s="26"/>
      <c r="E146" s="26"/>
      <c r="F146" s="27"/>
      <c r="G146" s="27"/>
      <c r="H146" s="28"/>
    </row>
    <row r="147" ht="14.25">
      <c r="D147" s="26"/>
      <c r="E147" s="26"/>
      <c r="F147" s="27"/>
      <c r="G147" s="27"/>
      <c r="H147" s="28"/>
    </row>
    <row r="148" ht="14.25">
      <c r="D148" s="26"/>
      <c r="E148" s="26"/>
      <c r="F148" s="27"/>
      <c r="G148" s="27"/>
      <c r="H148" s="28"/>
    </row>
    <row r="149" ht="14.25">
      <c r="D149" s="26"/>
      <c r="E149" s="26"/>
      <c r="F149" s="27"/>
      <c r="G149" s="27"/>
      <c r="H149" s="28"/>
    </row>
    <row r="150" ht="14.25">
      <c r="D150" s="26"/>
      <c r="E150" s="26"/>
      <c r="F150" s="27"/>
      <c r="G150" s="27"/>
      <c r="H150" s="28"/>
    </row>
    <row r="151" ht="14.25">
      <c r="D151" s="26"/>
      <c r="E151" s="26"/>
      <c r="F151" s="27"/>
      <c r="G151" s="27"/>
      <c r="H151" s="28"/>
    </row>
    <row r="152" ht="14.25">
      <c r="D152" s="26"/>
      <c r="E152" s="26"/>
      <c r="F152" s="27"/>
      <c r="G152" s="27"/>
      <c r="H152" s="28"/>
    </row>
    <row r="153" ht="14.25">
      <c r="D153" s="26"/>
      <c r="E153" s="26"/>
      <c r="F153" s="27"/>
      <c r="G153" s="27"/>
      <c r="H153" s="28"/>
    </row>
    <row r="154" ht="14.25">
      <c r="D154" s="26"/>
      <c r="E154" s="26"/>
      <c r="F154" s="27"/>
      <c r="G154" s="27"/>
      <c r="H154" s="28"/>
    </row>
    <row r="155" ht="14.25">
      <c r="D155" s="26"/>
      <c r="E155" s="26"/>
      <c r="F155" s="27"/>
      <c r="G155" s="27"/>
      <c r="H155" s="28"/>
    </row>
    <row r="156" ht="14.25">
      <c r="D156" s="26"/>
      <c r="E156" s="26"/>
      <c r="F156" s="27"/>
      <c r="G156" s="27"/>
      <c r="H156" s="28"/>
    </row>
    <row r="157" ht="14.25">
      <c r="D157" s="26"/>
      <c r="E157" s="26"/>
      <c r="F157" s="27"/>
      <c r="G157" s="27"/>
      <c r="H157" s="28"/>
    </row>
    <row r="158" ht="14.25">
      <c r="D158" s="26"/>
      <c r="E158" s="26"/>
      <c r="F158" s="27"/>
      <c r="G158" s="27"/>
      <c r="H158" s="28"/>
    </row>
    <row r="159" ht="14.25">
      <c r="D159" s="26"/>
      <c r="E159" s="26"/>
      <c r="F159" s="27"/>
      <c r="G159" s="27"/>
      <c r="H159" s="28"/>
    </row>
    <row r="160" ht="14.25">
      <c r="D160" s="26"/>
      <c r="E160" s="26"/>
      <c r="F160" s="27"/>
      <c r="G160" s="27"/>
      <c r="H160" s="28"/>
    </row>
    <row r="161" ht="14.25">
      <c r="D161" s="26"/>
      <c r="E161" s="26"/>
      <c r="F161" s="27"/>
      <c r="G161" s="27"/>
      <c r="H161" s="28"/>
    </row>
    <row r="162" ht="14.25">
      <c r="D162" s="26"/>
      <c r="E162" s="26"/>
      <c r="F162" s="27"/>
      <c r="G162" s="27"/>
      <c r="H162" s="28"/>
    </row>
    <row r="163" ht="14.25">
      <c r="D163" s="26"/>
      <c r="E163" s="26"/>
      <c r="F163" s="27"/>
      <c r="G163" s="27"/>
      <c r="H163" s="28"/>
    </row>
    <row r="164" ht="14.25">
      <c r="D164" s="26"/>
      <c r="E164" s="26"/>
      <c r="F164" s="27"/>
      <c r="G164" s="27"/>
      <c r="H164" s="28"/>
    </row>
    <row r="165" ht="14.25">
      <c r="D165" s="26"/>
      <c r="E165" s="26"/>
      <c r="F165" s="27"/>
      <c r="G165" s="27"/>
      <c r="H165" s="28"/>
    </row>
    <row r="166" ht="14.25">
      <c r="D166" s="26"/>
      <c r="E166" s="26"/>
      <c r="F166" s="27"/>
      <c r="G166" s="27"/>
      <c r="H166" s="28"/>
    </row>
    <row r="167" ht="14.25">
      <c r="D167" s="26"/>
      <c r="E167" s="26"/>
      <c r="F167" s="27"/>
      <c r="G167" s="27"/>
      <c r="H167" s="28"/>
    </row>
    <row r="168" ht="14.25">
      <c r="D168" s="26"/>
      <c r="E168" s="26"/>
      <c r="F168" s="27"/>
      <c r="G168" s="27"/>
      <c r="H168" s="28"/>
    </row>
    <row r="169" ht="14.25">
      <c r="D169" s="26"/>
      <c r="E169" s="26"/>
      <c r="F169" s="27"/>
      <c r="G169" s="27"/>
      <c r="H169" s="28"/>
    </row>
    <row r="170" ht="14.25">
      <c r="D170" s="26"/>
      <c r="E170" s="26"/>
      <c r="F170" s="27"/>
      <c r="G170" s="27"/>
      <c r="H170" s="28"/>
    </row>
    <row r="171" ht="14.25">
      <c r="D171" s="26"/>
      <c r="E171" s="26"/>
      <c r="F171" s="27"/>
      <c r="G171" s="27"/>
      <c r="H171" s="28"/>
    </row>
    <row r="172" ht="14.25">
      <c r="D172" s="26"/>
      <c r="E172" s="26"/>
      <c r="F172" s="27"/>
      <c r="G172" s="27"/>
      <c r="H172" s="2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min="2" max="5" style="26" width="9.140625"/>
    <col min="6" max="7" style="27" width="9.140625"/>
    <col min="8" max="9" style="28" width="9.140625"/>
    <col min="10" max="10" style="29" width="9.140625"/>
    <col min="11" max="11" style="28" width="9.140625"/>
    <col min="13" max="17" style="26" width="9.140625"/>
    <col min="18" max="18" style="29" width="9.140625"/>
  </cols>
  <sheetData>
    <row r="1" ht="14.25">
      <c r="A1" s="30"/>
      <c r="B1" s="31" t="s">
        <v>43</v>
      </c>
      <c r="C1" s="31" t="s">
        <v>44</v>
      </c>
      <c r="D1" s="31" t="s">
        <v>45</v>
      </c>
      <c r="E1" s="32"/>
      <c r="F1" s="33">
        <v>1</v>
      </c>
      <c r="G1" s="33">
        <v>2</v>
      </c>
      <c r="H1" s="34">
        <v>3</v>
      </c>
      <c r="I1" s="34">
        <v>4</v>
      </c>
      <c r="J1" s="33" t="s">
        <v>46</v>
      </c>
      <c r="K1" s="34" t="s">
        <v>47</v>
      </c>
    </row>
    <row r="2" ht="14.25">
      <c r="A2" s="30">
        <v>1</v>
      </c>
      <c r="B2" s="35">
        <v>0.155</v>
      </c>
      <c r="C2" s="35">
        <v>0.54500000000000004</v>
      </c>
      <c r="D2" s="35">
        <v>0.25</v>
      </c>
      <c r="E2" s="32"/>
      <c r="F2" s="36">
        <v>19.507999999999999</v>
      </c>
      <c r="G2" s="36">
        <v>0.69599999999999995</v>
      </c>
      <c r="H2" s="37">
        <v>78.962999999999994</v>
      </c>
      <c r="I2" s="37">
        <v>0.83299999999999996</v>
      </c>
      <c r="J2" s="38">
        <f t="shared" ref="J2:J9" si="39">F2+G2</f>
        <v>20.204000000000001</v>
      </c>
      <c r="K2" s="37">
        <f t="shared" ref="K2:K9" si="40">H2+I2</f>
        <v>79.795999999999992</v>
      </c>
    </row>
    <row r="3" ht="14.25">
      <c r="A3" s="30">
        <v>1</v>
      </c>
      <c r="B3" s="35">
        <v>0.155</v>
      </c>
      <c r="C3" s="35">
        <v>0.84499999999999997</v>
      </c>
      <c r="D3" s="35">
        <v>0.25</v>
      </c>
      <c r="E3" s="32"/>
      <c r="F3" s="36">
        <v>26.085999999999999</v>
      </c>
      <c r="G3" s="36">
        <v>26.419</v>
      </c>
      <c r="H3" s="37">
        <v>46.661999999999999</v>
      </c>
      <c r="I3" s="37">
        <v>0.83299999999999996</v>
      </c>
      <c r="J3" s="38">
        <f t="shared" si="39"/>
        <v>52.504999999999995</v>
      </c>
      <c r="K3" s="37">
        <f t="shared" si="40"/>
        <v>47.494999999999997</v>
      </c>
      <c r="N3" s="26"/>
      <c r="O3" s="26"/>
      <c r="P3" s="26"/>
      <c r="Q3" s="26"/>
      <c r="R3" s="29"/>
      <c r="S3" s="26"/>
    </row>
    <row r="4" ht="14.25">
      <c r="A4" s="30">
        <v>1</v>
      </c>
      <c r="B4" s="35">
        <v>0.155</v>
      </c>
      <c r="C4" s="35">
        <v>1.5449999999999999</v>
      </c>
      <c r="D4" s="35">
        <v>0.25</v>
      </c>
      <c r="E4" s="32"/>
      <c r="F4" s="36">
        <v>74.570999999999998</v>
      </c>
      <c r="G4" s="36">
        <v>0.97999999999999998</v>
      </c>
      <c r="H4" s="37">
        <v>23.614999999999998</v>
      </c>
      <c r="I4" s="37">
        <v>0.83299999999999996</v>
      </c>
      <c r="J4" s="38">
        <f t="shared" si="39"/>
        <v>75.551000000000002</v>
      </c>
      <c r="K4" s="37">
        <f t="shared" si="40"/>
        <v>24.447999999999997</v>
      </c>
      <c r="N4" s="26"/>
      <c r="O4" s="26"/>
      <c r="P4" s="26"/>
      <c r="Q4" s="26"/>
      <c r="R4" s="29"/>
    </row>
    <row r="5" ht="14.25">
      <c r="A5" s="30">
        <v>1</v>
      </c>
      <c r="B5" s="35">
        <v>0.155</v>
      </c>
      <c r="C5" s="35">
        <v>0.84499999999999997</v>
      </c>
      <c r="D5" s="35">
        <v>1.75</v>
      </c>
      <c r="E5" s="32"/>
      <c r="F5" s="36">
        <v>66.924999999999997</v>
      </c>
      <c r="G5" s="36">
        <v>17.675000000000001</v>
      </c>
      <c r="H5" s="37">
        <v>14.567</v>
      </c>
      <c r="I5" s="37">
        <v>0.83299999999999996</v>
      </c>
      <c r="J5" s="38">
        <f t="shared" si="39"/>
        <v>84.599999999999994</v>
      </c>
      <c r="K5" s="37">
        <f t="shared" si="40"/>
        <v>15.4</v>
      </c>
      <c r="N5" s="26"/>
      <c r="O5" s="26"/>
      <c r="P5" s="26"/>
      <c r="Q5" s="26"/>
      <c r="R5" s="29"/>
    </row>
    <row r="6" ht="14.25">
      <c r="A6" s="30">
        <v>1</v>
      </c>
      <c r="B6" s="35">
        <v>0.155</v>
      </c>
      <c r="C6" s="35">
        <v>0.84499999999999997</v>
      </c>
      <c r="D6" s="35">
        <v>0.5</v>
      </c>
      <c r="E6" s="32"/>
      <c r="F6" s="36">
        <v>35.085000000000001</v>
      </c>
      <c r="G6" s="36">
        <v>28.527000000000001</v>
      </c>
      <c r="H6" s="37">
        <v>35.555</v>
      </c>
      <c r="I6" s="37">
        <v>0.83299999999999996</v>
      </c>
      <c r="J6" s="38">
        <f t="shared" si="39"/>
        <v>63.612000000000002</v>
      </c>
      <c r="K6" s="37">
        <f t="shared" si="40"/>
        <v>36.387999999999998</v>
      </c>
      <c r="N6" s="26"/>
      <c r="O6" s="26"/>
      <c r="P6" s="26"/>
      <c r="Q6" s="26"/>
      <c r="R6" s="29"/>
    </row>
    <row r="7" ht="14.25">
      <c r="A7" s="30">
        <v>1</v>
      </c>
      <c r="B7" s="35">
        <v>0.155</v>
      </c>
      <c r="C7" s="35">
        <v>0</v>
      </c>
      <c r="D7" s="35">
        <v>0.10000000000000001</v>
      </c>
      <c r="E7" s="32"/>
      <c r="F7" s="36">
        <v>15.685</v>
      </c>
      <c r="G7" s="36">
        <v>0.157</v>
      </c>
      <c r="H7" s="37">
        <v>83.325000000000003</v>
      </c>
      <c r="I7" s="37">
        <v>0.83299999999999996</v>
      </c>
      <c r="J7" s="38">
        <f t="shared" si="39"/>
        <v>15.842000000000001</v>
      </c>
      <c r="K7" s="37">
        <f t="shared" si="40"/>
        <v>84.158000000000001</v>
      </c>
      <c r="M7" s="26"/>
      <c r="N7" s="26"/>
      <c r="O7" s="26"/>
      <c r="P7" s="26"/>
      <c r="Q7" s="26"/>
      <c r="R7" s="29"/>
    </row>
    <row r="8" ht="14.25">
      <c r="A8" s="30">
        <v>1</v>
      </c>
      <c r="B8" s="35">
        <v>0.155</v>
      </c>
      <c r="C8" s="35">
        <v>0.84499999999999997</v>
      </c>
      <c r="D8" s="35">
        <v>0.10000000000000001</v>
      </c>
      <c r="E8" s="32"/>
      <c r="F8" s="36">
        <v>19.850999999999999</v>
      </c>
      <c r="G8" s="36">
        <v>18.164999999999999</v>
      </c>
      <c r="H8" s="37">
        <v>61.151000000000003</v>
      </c>
      <c r="I8" s="37">
        <v>0.83299999999999996</v>
      </c>
      <c r="J8" s="38">
        <f t="shared" si="39"/>
        <v>38.015999999999998</v>
      </c>
      <c r="K8" s="37">
        <f t="shared" si="40"/>
        <v>61.984000000000002</v>
      </c>
      <c r="M8" s="26"/>
      <c r="N8" s="26"/>
      <c r="O8" s="26"/>
      <c r="P8" s="26"/>
      <c r="Q8" s="26"/>
      <c r="R8" s="29"/>
    </row>
    <row r="9" ht="14.25">
      <c r="A9" s="30">
        <v>1</v>
      </c>
      <c r="B9" s="35">
        <v>0.155</v>
      </c>
      <c r="C9" s="35">
        <v>0.54500000000000004</v>
      </c>
      <c r="D9" s="35">
        <v>0.25</v>
      </c>
      <c r="E9" s="39" t="s">
        <v>48</v>
      </c>
      <c r="F9" s="36">
        <v>18.959</v>
      </c>
      <c r="G9" s="36">
        <v>1.2450000000000001</v>
      </c>
      <c r="H9" s="37">
        <v>71.835999999999999</v>
      </c>
      <c r="I9" s="37">
        <v>7.96</v>
      </c>
      <c r="J9" s="38">
        <f t="shared" si="39"/>
        <v>20.204000000000001</v>
      </c>
      <c r="K9" s="37">
        <f t="shared" si="40"/>
        <v>79.795999999999992</v>
      </c>
      <c r="M9" s="26"/>
      <c r="N9" s="26"/>
      <c r="O9" s="26"/>
      <c r="P9" s="26"/>
      <c r="Q9" s="26"/>
      <c r="R9" s="29"/>
    </row>
    <row r="10" ht="14.25">
      <c r="A10" s="30">
        <v>1</v>
      </c>
      <c r="B10" s="35">
        <v>0.155</v>
      </c>
      <c r="C10" s="35">
        <v>0.84499999999999997</v>
      </c>
      <c r="D10" s="35">
        <v>0.25</v>
      </c>
      <c r="E10" s="39" t="s">
        <v>48</v>
      </c>
      <c r="F10" s="36">
        <v>24.390000000000001</v>
      </c>
      <c r="G10" s="36">
        <v>28.468</v>
      </c>
      <c r="H10" s="37">
        <v>38.427999999999997</v>
      </c>
      <c r="I10" s="37">
        <v>8.7149999999999999</v>
      </c>
      <c r="J10" s="38">
        <f t="shared" ref="J10:J57" si="41">F10+G10</f>
        <v>52.858000000000004</v>
      </c>
      <c r="K10" s="37">
        <f t="shared" ref="K10:K57" si="42">H10+I10</f>
        <v>47.143000000000001</v>
      </c>
      <c r="M10" s="26"/>
      <c r="N10" s="26"/>
      <c r="O10" s="26"/>
      <c r="P10" s="26"/>
      <c r="Q10" s="26"/>
      <c r="R10" s="29"/>
    </row>
    <row r="11" ht="14.25">
      <c r="A11" s="30">
        <v>1</v>
      </c>
      <c r="B11" s="35">
        <v>0.155</v>
      </c>
      <c r="C11" s="35">
        <v>1.5449999999999999</v>
      </c>
      <c r="D11" s="35">
        <v>0.25</v>
      </c>
      <c r="E11" s="39" t="s">
        <v>48</v>
      </c>
      <c r="F11" s="36">
        <v>62.238999999999997</v>
      </c>
      <c r="G11" s="36">
        <v>13.311999999999999</v>
      </c>
      <c r="H11" s="37">
        <v>14.664999999999999</v>
      </c>
      <c r="I11" s="37">
        <v>9.7829999999999995</v>
      </c>
      <c r="J11" s="38">
        <f t="shared" si="41"/>
        <v>75.551000000000002</v>
      </c>
      <c r="K11" s="37">
        <f t="shared" si="42"/>
        <v>24.448</v>
      </c>
      <c r="N11" s="26"/>
      <c r="O11" s="26"/>
      <c r="P11" s="26"/>
      <c r="Q11" s="26"/>
      <c r="R11" s="29"/>
    </row>
    <row r="12" ht="14.25">
      <c r="A12" s="30">
        <v>1</v>
      </c>
      <c r="B12" s="35">
        <v>0.155</v>
      </c>
      <c r="C12" s="35">
        <v>0.84499999999999997</v>
      </c>
      <c r="D12" s="35">
        <v>1.75</v>
      </c>
      <c r="E12" s="39" t="s">
        <v>48</v>
      </c>
      <c r="F12" s="36">
        <v>63.326999999999998</v>
      </c>
      <c r="G12" s="36">
        <v>20.861000000000001</v>
      </c>
      <c r="H12" s="37">
        <v>5.9109999999999996</v>
      </c>
      <c r="I12" s="37">
        <v>9.9009999999999998</v>
      </c>
      <c r="J12" s="38">
        <f t="shared" si="41"/>
        <v>84.188000000000002</v>
      </c>
      <c r="K12" s="37">
        <f t="shared" si="42"/>
        <v>15.811999999999999</v>
      </c>
      <c r="N12" s="26"/>
      <c r="O12" s="26"/>
      <c r="P12" s="26"/>
      <c r="Q12" s="26"/>
      <c r="R12" s="29"/>
    </row>
    <row r="13" ht="14.25">
      <c r="A13" s="30">
        <v>1</v>
      </c>
      <c r="B13" s="35">
        <v>0.155</v>
      </c>
      <c r="C13" s="35">
        <v>0.84499999999999997</v>
      </c>
      <c r="D13" s="35">
        <v>0.5</v>
      </c>
      <c r="E13" s="39" t="s">
        <v>48</v>
      </c>
      <c r="F13" s="36">
        <v>32.850000000000001</v>
      </c>
      <c r="G13" s="36">
        <v>30.879000000000001</v>
      </c>
      <c r="H13" s="37">
        <v>26.497</v>
      </c>
      <c r="I13" s="37">
        <v>9.7739999999999991</v>
      </c>
      <c r="J13" s="38">
        <f t="shared" si="41"/>
        <v>63.728999999999999</v>
      </c>
      <c r="K13" s="37">
        <f t="shared" si="42"/>
        <v>36.271000000000001</v>
      </c>
      <c r="N13" s="26"/>
      <c r="O13" s="26"/>
      <c r="P13" s="26"/>
      <c r="Q13" s="26"/>
      <c r="R13" s="29"/>
    </row>
    <row r="14" ht="14.25">
      <c r="A14" s="30">
        <v>1</v>
      </c>
      <c r="B14" s="35">
        <v>0.155</v>
      </c>
      <c r="C14" s="35">
        <v>0</v>
      </c>
      <c r="D14" s="35">
        <v>0.10000000000000001</v>
      </c>
      <c r="E14" s="39" t="s">
        <v>48</v>
      </c>
      <c r="F14" s="36">
        <v>15.685</v>
      </c>
      <c r="G14" s="36">
        <v>0.157</v>
      </c>
      <c r="H14" s="37">
        <v>76.757000000000005</v>
      </c>
      <c r="I14" s="37">
        <v>7.4009999999999998</v>
      </c>
      <c r="J14" s="38">
        <f t="shared" si="41"/>
        <v>15.842000000000001</v>
      </c>
      <c r="K14" s="37">
        <f t="shared" si="42"/>
        <v>84.158000000000001</v>
      </c>
      <c r="N14" s="26"/>
      <c r="O14" s="26"/>
      <c r="P14" s="26"/>
      <c r="Q14" s="26"/>
      <c r="R14" s="29"/>
    </row>
    <row r="15" ht="14.25">
      <c r="A15" s="30">
        <v>1</v>
      </c>
      <c r="B15" s="35">
        <v>0.155</v>
      </c>
      <c r="C15" s="35">
        <v>0.84499999999999997</v>
      </c>
      <c r="D15" s="35">
        <v>0.10000000000000001</v>
      </c>
      <c r="E15" s="39" t="s">
        <v>48</v>
      </c>
      <c r="F15" s="36">
        <v>18.733000000000001</v>
      </c>
      <c r="G15" s="36">
        <v>20.106000000000002</v>
      </c>
      <c r="H15" s="37">
        <v>53.240000000000002</v>
      </c>
      <c r="I15" s="37">
        <v>7.9210000000000003</v>
      </c>
      <c r="J15" s="38">
        <f t="shared" si="41"/>
        <v>38.838999999999999</v>
      </c>
      <c r="K15" s="37">
        <f t="shared" si="42"/>
        <v>61.161000000000001</v>
      </c>
      <c r="N15" s="26"/>
      <c r="O15" s="26"/>
      <c r="P15" s="26"/>
      <c r="Q15" s="26"/>
      <c r="R15" s="29"/>
    </row>
    <row r="16" ht="14.25">
      <c r="A16" s="30">
        <v>2</v>
      </c>
      <c r="B16" s="35">
        <v>0.155</v>
      </c>
      <c r="C16" s="35">
        <v>0.54500000000000004</v>
      </c>
      <c r="D16" s="35">
        <v>0.25</v>
      </c>
      <c r="E16" s="32"/>
      <c r="F16" s="36">
        <v>21.771999999999998</v>
      </c>
      <c r="G16" s="36">
        <v>0.69599999999999995</v>
      </c>
      <c r="H16" s="37">
        <v>0.29399999999999998</v>
      </c>
      <c r="I16" s="37">
        <v>77.238</v>
      </c>
      <c r="J16" s="38">
        <f t="shared" si="41"/>
        <v>22.468</v>
      </c>
      <c r="K16" s="37">
        <f t="shared" si="42"/>
        <v>77.531999999999996</v>
      </c>
      <c r="M16" s="26"/>
      <c r="N16" s="26"/>
      <c r="O16" s="26"/>
      <c r="P16" s="26"/>
      <c r="Q16" s="26"/>
      <c r="R16" s="29"/>
    </row>
    <row r="17" ht="14.25">
      <c r="A17" s="30">
        <v>2</v>
      </c>
      <c r="B17" s="35">
        <v>0.155</v>
      </c>
      <c r="C17" s="35">
        <v>0.84499999999999997</v>
      </c>
      <c r="D17" s="35">
        <v>0.25</v>
      </c>
      <c r="E17" s="32"/>
      <c r="F17" s="36">
        <v>25.968</v>
      </c>
      <c r="G17" s="36">
        <v>0.97999999999999998</v>
      </c>
      <c r="H17" s="37">
        <v>0.01</v>
      </c>
      <c r="I17" s="37">
        <v>73.042000000000002</v>
      </c>
      <c r="J17" s="38">
        <f t="shared" si="41"/>
        <v>26.948</v>
      </c>
      <c r="K17" s="37">
        <f t="shared" si="42"/>
        <v>73.052000000000007</v>
      </c>
      <c r="M17" s="26"/>
      <c r="N17" s="26"/>
      <c r="O17" s="26"/>
      <c r="P17" s="26"/>
      <c r="Q17" s="26"/>
      <c r="R17" s="29"/>
    </row>
    <row r="18" ht="14.25">
      <c r="A18" s="30">
        <v>2</v>
      </c>
      <c r="B18" s="35">
        <v>0.155</v>
      </c>
      <c r="C18" s="35">
        <v>1.5449999999999999</v>
      </c>
      <c r="D18" s="35">
        <v>0.25</v>
      </c>
      <c r="E18" s="32"/>
      <c r="F18" s="36">
        <v>31.654</v>
      </c>
      <c r="G18" s="36">
        <v>0.97999999999999998</v>
      </c>
      <c r="H18" s="37">
        <v>0.01</v>
      </c>
      <c r="I18" s="37">
        <v>67.355999999999995</v>
      </c>
      <c r="J18" s="38">
        <f t="shared" si="41"/>
        <v>32.634</v>
      </c>
      <c r="K18" s="37">
        <f t="shared" si="42"/>
        <v>67.366</v>
      </c>
      <c r="M18" s="26"/>
      <c r="N18" s="26"/>
      <c r="O18" s="26"/>
      <c r="P18" s="26"/>
      <c r="Q18" s="26"/>
      <c r="R18" s="29"/>
    </row>
    <row r="19" ht="14.25">
      <c r="A19" s="30">
        <v>2</v>
      </c>
      <c r="B19" s="35">
        <v>0.155</v>
      </c>
      <c r="C19" s="35">
        <v>0.84499999999999997</v>
      </c>
      <c r="D19" s="35">
        <v>1.75</v>
      </c>
      <c r="E19" s="32"/>
      <c r="F19" s="36">
        <v>61.170000000000002</v>
      </c>
      <c r="G19" s="36">
        <v>0.97999999999999998</v>
      </c>
      <c r="H19" s="37">
        <v>0.01</v>
      </c>
      <c r="I19" s="37">
        <v>37.838999999999999</v>
      </c>
      <c r="J19" s="38">
        <f t="shared" si="41"/>
        <v>62.149999999999999</v>
      </c>
      <c r="K19" s="37">
        <f t="shared" si="42"/>
        <v>37.848999999999997</v>
      </c>
      <c r="M19" s="26"/>
      <c r="N19" s="26"/>
      <c r="O19" s="26"/>
      <c r="P19" s="26"/>
      <c r="Q19" s="26"/>
      <c r="R19" s="29"/>
    </row>
    <row r="20" ht="14.25">
      <c r="A20" s="30">
        <v>2</v>
      </c>
      <c r="B20" s="35">
        <v>0.155</v>
      </c>
      <c r="C20" s="35">
        <v>0.84499999999999997</v>
      </c>
      <c r="D20" s="35">
        <v>0.5</v>
      </c>
      <c r="E20" s="32"/>
      <c r="F20" s="36">
        <v>34.810000000000002</v>
      </c>
      <c r="G20" s="36">
        <v>0.97999999999999998</v>
      </c>
      <c r="H20" s="37">
        <v>0.01</v>
      </c>
      <c r="I20" s="37">
        <v>64.200000000000003</v>
      </c>
      <c r="J20" s="38">
        <f t="shared" si="41"/>
        <v>35.789999999999999</v>
      </c>
      <c r="K20" s="37">
        <f t="shared" si="42"/>
        <v>64.210000000000008</v>
      </c>
      <c r="M20" s="26"/>
      <c r="N20" s="26"/>
      <c r="O20" s="26"/>
      <c r="P20" s="26"/>
      <c r="Q20" s="26"/>
      <c r="R20" s="29"/>
    </row>
    <row r="21" ht="14.25">
      <c r="A21" s="30">
        <v>2</v>
      </c>
      <c r="B21" s="35">
        <v>0.155</v>
      </c>
      <c r="C21" s="35">
        <v>0</v>
      </c>
      <c r="D21" s="35">
        <v>0.10000000000000001</v>
      </c>
      <c r="E21" s="32"/>
      <c r="F21" s="36">
        <v>15.685</v>
      </c>
      <c r="G21" s="36">
        <v>0.157</v>
      </c>
      <c r="H21" s="37">
        <v>0.83299999999999996</v>
      </c>
      <c r="I21" s="37">
        <v>83.325000000000003</v>
      </c>
      <c r="J21" s="38">
        <f t="shared" si="41"/>
        <v>15.842000000000001</v>
      </c>
      <c r="K21" s="37">
        <f t="shared" si="42"/>
        <v>84.158000000000001</v>
      </c>
      <c r="M21" s="26"/>
      <c r="N21" s="26"/>
      <c r="O21" s="26"/>
      <c r="P21" s="26"/>
      <c r="Q21" s="26"/>
      <c r="R21" s="29"/>
    </row>
    <row r="22" ht="14.25">
      <c r="A22" s="30">
        <v>2</v>
      </c>
      <c r="B22" s="35">
        <v>0.155</v>
      </c>
      <c r="C22" s="35">
        <v>0.84499999999999997</v>
      </c>
      <c r="D22" s="35">
        <v>0.10000000000000001</v>
      </c>
      <c r="E22" s="32"/>
      <c r="F22" s="36">
        <v>19.831</v>
      </c>
      <c r="G22" s="36">
        <v>0.97999999999999998</v>
      </c>
      <c r="H22" s="37">
        <v>0.01</v>
      </c>
      <c r="I22" s="37">
        <v>79.179000000000002</v>
      </c>
      <c r="J22" s="38">
        <f t="shared" si="41"/>
        <v>20.811</v>
      </c>
      <c r="K22" s="37">
        <f t="shared" si="42"/>
        <v>79.189000000000007</v>
      </c>
      <c r="M22" s="26"/>
      <c r="N22" s="26"/>
      <c r="O22" s="26"/>
      <c r="P22" s="26"/>
      <c r="Q22" s="26"/>
      <c r="R22" s="29"/>
    </row>
    <row r="23" ht="14.25">
      <c r="A23" s="30">
        <v>2</v>
      </c>
      <c r="B23" s="35">
        <v>0.155</v>
      </c>
      <c r="C23" s="35">
        <v>0.54500000000000004</v>
      </c>
      <c r="D23" s="35">
        <v>0.25</v>
      </c>
      <c r="E23" s="39" t="s">
        <v>48</v>
      </c>
      <c r="F23" s="36">
        <v>21.645</v>
      </c>
      <c r="G23" s="36">
        <v>0.82299999999999995</v>
      </c>
      <c r="H23" s="37">
        <v>0.29399999999999998</v>
      </c>
      <c r="I23" s="37">
        <v>77.238</v>
      </c>
      <c r="J23" s="38">
        <f t="shared" si="41"/>
        <v>22.468</v>
      </c>
      <c r="K23" s="37">
        <f t="shared" si="42"/>
        <v>77.531999999999996</v>
      </c>
      <c r="M23" s="26"/>
      <c r="N23" s="26"/>
      <c r="O23" s="26"/>
      <c r="P23" s="26"/>
      <c r="Q23" s="26"/>
      <c r="R23" s="29"/>
    </row>
    <row r="24" ht="14.25">
      <c r="A24" s="30">
        <v>2</v>
      </c>
      <c r="B24" s="35">
        <v>0.155</v>
      </c>
      <c r="C24" s="35">
        <v>0.84499999999999997</v>
      </c>
      <c r="D24" s="35">
        <v>0.25</v>
      </c>
      <c r="E24" s="39" t="s">
        <v>48</v>
      </c>
      <c r="F24" s="36">
        <v>25.968</v>
      </c>
      <c r="G24" s="36">
        <v>0.97999999999999998</v>
      </c>
      <c r="H24" s="37">
        <v>0.01</v>
      </c>
      <c r="I24" s="37">
        <v>73.042000000000002</v>
      </c>
      <c r="J24" s="38">
        <f t="shared" si="41"/>
        <v>26.948</v>
      </c>
      <c r="K24" s="37">
        <f t="shared" si="42"/>
        <v>73.052000000000007</v>
      </c>
      <c r="M24" s="26"/>
      <c r="N24" s="26"/>
      <c r="O24" s="26"/>
      <c r="P24" s="26"/>
      <c r="Q24" s="26"/>
      <c r="R24" s="29"/>
    </row>
    <row r="25" ht="14.25">
      <c r="A25" s="30">
        <v>2</v>
      </c>
      <c r="B25" s="35">
        <v>0.155</v>
      </c>
      <c r="C25" s="35">
        <v>1.5449999999999999</v>
      </c>
      <c r="D25" s="35">
        <v>0.25</v>
      </c>
      <c r="E25" s="39" t="s">
        <v>48</v>
      </c>
      <c r="F25" s="36">
        <v>31.654</v>
      </c>
      <c r="G25" s="36">
        <v>0.97999999999999998</v>
      </c>
      <c r="H25" s="37">
        <v>0.01</v>
      </c>
      <c r="I25" s="37">
        <v>67.355999999999995</v>
      </c>
      <c r="J25" s="38">
        <f t="shared" si="41"/>
        <v>32.634</v>
      </c>
      <c r="K25" s="37">
        <f t="shared" si="42"/>
        <v>67.366</v>
      </c>
      <c r="M25" s="26"/>
      <c r="N25" s="26"/>
      <c r="O25" s="26"/>
      <c r="P25" s="26"/>
      <c r="Q25" s="26"/>
      <c r="R25" s="29"/>
    </row>
    <row r="26" ht="14.25">
      <c r="A26" s="30">
        <v>2</v>
      </c>
      <c r="B26" s="35">
        <v>0.155</v>
      </c>
      <c r="C26" s="35">
        <v>0.84499999999999997</v>
      </c>
      <c r="D26" s="35">
        <v>1.75</v>
      </c>
      <c r="E26" s="39" t="s">
        <v>48</v>
      </c>
      <c r="F26" s="36">
        <v>60.866999999999997</v>
      </c>
      <c r="G26" s="36">
        <v>0.97999999999999998</v>
      </c>
      <c r="H26" s="37">
        <v>0.01</v>
      </c>
      <c r="I26" s="37">
        <v>38.143000000000001</v>
      </c>
      <c r="J26" s="38">
        <f t="shared" si="41"/>
        <v>61.846999999999994</v>
      </c>
      <c r="K26" s="37">
        <f t="shared" si="42"/>
        <v>38.152999999999999</v>
      </c>
      <c r="M26" s="26"/>
      <c r="N26" s="26"/>
      <c r="O26" s="26"/>
      <c r="P26" s="26"/>
      <c r="Q26" s="26"/>
      <c r="R26" s="29"/>
    </row>
    <row r="27" ht="14.25">
      <c r="A27" s="30">
        <v>2</v>
      </c>
      <c r="B27" s="35">
        <v>0.155</v>
      </c>
      <c r="C27" s="35">
        <v>0.84499999999999997</v>
      </c>
      <c r="D27" s="35">
        <v>0.5</v>
      </c>
      <c r="E27" s="39" t="s">
        <v>48</v>
      </c>
      <c r="F27" s="36">
        <v>34.801000000000002</v>
      </c>
      <c r="G27" s="36">
        <v>0.97999999999999998</v>
      </c>
      <c r="H27" s="37">
        <v>0.01</v>
      </c>
      <c r="I27" s="37">
        <v>64.209000000000003</v>
      </c>
      <c r="J27" s="38">
        <f t="shared" si="41"/>
        <v>35.780999999999999</v>
      </c>
      <c r="K27" s="37">
        <f t="shared" si="42"/>
        <v>64.219000000000008</v>
      </c>
      <c r="M27" s="26"/>
      <c r="N27" s="26"/>
      <c r="O27" s="26"/>
      <c r="P27" s="26"/>
      <c r="Q27" s="26"/>
      <c r="R27" s="29"/>
    </row>
    <row r="28" ht="14.25">
      <c r="A28" s="30">
        <v>2</v>
      </c>
      <c r="B28" s="35">
        <v>0.155</v>
      </c>
      <c r="C28" s="35">
        <v>0</v>
      </c>
      <c r="D28" s="35">
        <v>0.10000000000000001</v>
      </c>
      <c r="E28" s="39" t="s">
        <v>48</v>
      </c>
      <c r="F28" s="36">
        <v>15.685</v>
      </c>
      <c r="G28" s="36">
        <v>0.157</v>
      </c>
      <c r="H28" s="37">
        <v>0.83299999999999996</v>
      </c>
      <c r="I28" s="37">
        <v>83.325000000000003</v>
      </c>
      <c r="J28" s="38">
        <f t="shared" si="41"/>
        <v>15.842000000000001</v>
      </c>
      <c r="K28" s="37">
        <f t="shared" si="42"/>
        <v>84.158000000000001</v>
      </c>
      <c r="M28" s="26"/>
      <c r="N28" s="26"/>
      <c r="O28" s="26"/>
      <c r="P28" s="26"/>
      <c r="Q28" s="26"/>
      <c r="R28" s="29"/>
    </row>
    <row r="29" ht="14.25">
      <c r="A29" s="30">
        <v>2</v>
      </c>
      <c r="B29" s="35">
        <v>0.155</v>
      </c>
      <c r="C29" s="35">
        <v>0.84499999999999997</v>
      </c>
      <c r="D29" s="35">
        <v>0.10000000000000001</v>
      </c>
      <c r="E29" s="39" t="s">
        <v>48</v>
      </c>
      <c r="F29" s="36">
        <v>19.831</v>
      </c>
      <c r="G29" s="36">
        <v>0.97999999999999998</v>
      </c>
      <c r="H29" s="37">
        <v>0.01</v>
      </c>
      <c r="I29" s="37">
        <v>79.179000000000002</v>
      </c>
      <c r="J29" s="38">
        <f t="shared" si="41"/>
        <v>20.811</v>
      </c>
      <c r="K29" s="37">
        <f t="shared" si="42"/>
        <v>79.189000000000007</v>
      </c>
      <c r="M29" s="26"/>
      <c r="N29" s="26"/>
      <c r="O29" s="26"/>
      <c r="P29" s="26"/>
      <c r="Q29" s="26"/>
      <c r="R29" s="29"/>
    </row>
    <row r="30" ht="14.25">
      <c r="A30" s="30">
        <v>3</v>
      </c>
      <c r="B30" s="35">
        <v>0.155</v>
      </c>
      <c r="C30" s="35">
        <v>0.54500000000000004</v>
      </c>
      <c r="D30" s="35">
        <v>0.25</v>
      </c>
      <c r="E30" s="32"/>
      <c r="F30" s="36">
        <v>24.056000000000001</v>
      </c>
      <c r="G30" s="36">
        <v>0.69599999999999995</v>
      </c>
      <c r="H30" s="37">
        <v>74.414000000000001</v>
      </c>
      <c r="I30" s="37">
        <v>0.83299999999999996</v>
      </c>
      <c r="J30" s="38">
        <f t="shared" si="41"/>
        <v>24.752000000000002</v>
      </c>
      <c r="K30" s="37">
        <f t="shared" si="42"/>
        <v>75.247</v>
      </c>
    </row>
    <row r="31" ht="14.25">
      <c r="A31" s="30">
        <v>3</v>
      </c>
      <c r="B31" s="35">
        <v>0.155</v>
      </c>
      <c r="C31" s="35">
        <v>0.84499999999999997</v>
      </c>
      <c r="D31" s="35">
        <v>0.25</v>
      </c>
      <c r="E31" s="32"/>
      <c r="F31" s="36">
        <v>33.143999999999998</v>
      </c>
      <c r="G31" s="36">
        <v>32.594999999999999</v>
      </c>
      <c r="H31" s="37">
        <v>33.427999999999997</v>
      </c>
      <c r="I31" s="37">
        <v>0.83299999999999996</v>
      </c>
      <c r="J31" s="38">
        <f t="shared" si="41"/>
        <v>65.739000000000004</v>
      </c>
      <c r="K31" s="37">
        <f t="shared" si="42"/>
        <v>34.260999999999996</v>
      </c>
    </row>
    <row r="32" ht="14.25">
      <c r="A32" s="30">
        <v>3</v>
      </c>
      <c r="B32" s="35">
        <v>0.155</v>
      </c>
      <c r="C32" s="35">
        <v>1.5449999999999999</v>
      </c>
      <c r="D32" s="35">
        <v>0.25</v>
      </c>
      <c r="E32" s="32"/>
      <c r="F32" s="36">
        <v>89.471999999999994</v>
      </c>
      <c r="G32" s="36">
        <v>0.97999999999999998</v>
      </c>
      <c r="H32" s="37">
        <v>8.7149999999999999</v>
      </c>
      <c r="I32" s="37">
        <v>0.83299999999999996</v>
      </c>
      <c r="J32" s="38">
        <f t="shared" si="41"/>
        <v>90.451999999999998</v>
      </c>
      <c r="K32" s="37">
        <f t="shared" si="42"/>
        <v>9.548</v>
      </c>
    </row>
    <row r="33" ht="14.25">
      <c r="A33" s="30">
        <v>3</v>
      </c>
      <c r="B33" s="35">
        <v>0.155</v>
      </c>
      <c r="C33" s="35">
        <v>0.84499999999999997</v>
      </c>
      <c r="D33" s="35">
        <v>1.75</v>
      </c>
      <c r="E33" s="32"/>
      <c r="F33" s="36">
        <v>76.599999999999994</v>
      </c>
      <c r="G33" s="36">
        <v>18.606000000000002</v>
      </c>
      <c r="H33" s="37">
        <v>3.96</v>
      </c>
      <c r="I33" s="37">
        <v>0.83299999999999996</v>
      </c>
      <c r="J33" s="38">
        <f t="shared" si="41"/>
        <v>95.205999999999989</v>
      </c>
      <c r="K33" s="37">
        <f t="shared" si="42"/>
        <v>4.7930000000000001</v>
      </c>
    </row>
    <row r="34" ht="14.25">
      <c r="A34" s="30">
        <v>3</v>
      </c>
      <c r="B34" s="35">
        <v>0.155</v>
      </c>
      <c r="C34" s="35">
        <v>0.84499999999999997</v>
      </c>
      <c r="D34" s="35">
        <v>0.5</v>
      </c>
      <c r="E34" s="32"/>
      <c r="F34" s="36">
        <v>46.270000000000003</v>
      </c>
      <c r="G34" s="36">
        <v>33.055999999999997</v>
      </c>
      <c r="H34" s="37">
        <v>19.841000000000001</v>
      </c>
      <c r="I34" s="37">
        <v>0.83299999999999996</v>
      </c>
      <c r="J34" s="38">
        <f t="shared" si="41"/>
        <v>79.325999999999993</v>
      </c>
      <c r="K34" s="37">
        <f t="shared" si="42"/>
        <v>20.673999999999999</v>
      </c>
    </row>
    <row r="35" ht="14.25">
      <c r="A35" s="30">
        <v>3</v>
      </c>
      <c r="B35" s="35">
        <v>0.155</v>
      </c>
      <c r="C35" s="35">
        <v>0</v>
      </c>
      <c r="D35" s="35">
        <v>0.10000000000000001</v>
      </c>
      <c r="E35" s="32"/>
      <c r="F35" s="36">
        <v>15.685</v>
      </c>
      <c r="G35" s="36">
        <v>0.157</v>
      </c>
      <c r="H35" s="37">
        <v>83.325000000000003</v>
      </c>
      <c r="I35" s="37">
        <v>0.83299999999999996</v>
      </c>
      <c r="J35" s="38">
        <f t="shared" si="41"/>
        <v>15.842000000000001</v>
      </c>
      <c r="K35" s="37">
        <f t="shared" si="42"/>
        <v>84.158000000000001</v>
      </c>
    </row>
    <row r="36" ht="14.25">
      <c r="A36" s="30">
        <v>3</v>
      </c>
      <c r="B36" s="35">
        <v>0.155</v>
      </c>
      <c r="C36" s="35">
        <v>0.84499999999999997</v>
      </c>
      <c r="D36" s="35">
        <v>0.10000000000000001</v>
      </c>
      <c r="E36" s="32"/>
      <c r="F36" s="36">
        <v>23.096</v>
      </c>
      <c r="G36" s="36">
        <v>23.488</v>
      </c>
      <c r="H36" s="37">
        <v>52.582999999999998</v>
      </c>
      <c r="I36" s="37">
        <v>0.83299999999999996</v>
      </c>
      <c r="J36" s="38">
        <f t="shared" si="41"/>
        <v>46.584000000000003</v>
      </c>
      <c r="K36" s="37">
        <f t="shared" si="42"/>
        <v>53.415999999999997</v>
      </c>
    </row>
    <row r="37" ht="14.25">
      <c r="A37" s="30">
        <v>3</v>
      </c>
      <c r="B37" s="35">
        <v>0.155</v>
      </c>
      <c r="C37" s="35">
        <v>0.54500000000000004</v>
      </c>
      <c r="D37" s="35">
        <v>0.25</v>
      </c>
      <c r="E37" s="39" t="s">
        <v>48</v>
      </c>
      <c r="F37" s="36">
        <v>23.957999999999998</v>
      </c>
      <c r="G37" s="36">
        <v>0.80400000000000005</v>
      </c>
      <c r="H37" s="37">
        <v>73.933999999999997</v>
      </c>
      <c r="I37" s="37">
        <v>1.304</v>
      </c>
      <c r="J37" s="38">
        <f t="shared" si="41"/>
        <v>24.761999999999997</v>
      </c>
      <c r="K37" s="37">
        <f t="shared" si="42"/>
        <v>75.238</v>
      </c>
    </row>
    <row r="38" ht="14.25">
      <c r="A38" s="30">
        <v>3</v>
      </c>
      <c r="B38" s="35">
        <v>0.155</v>
      </c>
      <c r="C38" s="35">
        <v>0.84499999999999997</v>
      </c>
      <c r="D38" s="35">
        <v>0.25</v>
      </c>
      <c r="E38" s="39" t="s">
        <v>48</v>
      </c>
      <c r="F38" s="36">
        <v>31.614999999999998</v>
      </c>
      <c r="G38" s="36">
        <v>34.487000000000002</v>
      </c>
      <c r="H38" s="37">
        <v>32.564999999999998</v>
      </c>
      <c r="I38" s="37">
        <v>1.333</v>
      </c>
      <c r="J38" s="38">
        <f t="shared" si="41"/>
        <v>66.102000000000004</v>
      </c>
      <c r="K38" s="37">
        <f t="shared" si="42"/>
        <v>33.897999999999996</v>
      </c>
    </row>
    <row r="39" ht="14.25">
      <c r="A39" s="30">
        <v>3</v>
      </c>
      <c r="B39" s="35">
        <v>0.155</v>
      </c>
      <c r="C39" s="35">
        <v>1.5449999999999999</v>
      </c>
      <c r="D39" s="35">
        <v>0.25</v>
      </c>
      <c r="E39" s="39" t="s">
        <v>48</v>
      </c>
      <c r="F39" s="36">
        <v>74.668999999999997</v>
      </c>
      <c r="G39" s="36">
        <v>15.782999999999999</v>
      </c>
      <c r="H39" s="37">
        <v>8.1660000000000004</v>
      </c>
      <c r="I39" s="37">
        <v>1.3819999999999999</v>
      </c>
      <c r="J39" s="38">
        <f t="shared" si="41"/>
        <v>90.451999999999998</v>
      </c>
      <c r="K39" s="37">
        <f t="shared" si="42"/>
        <v>9.548</v>
      </c>
    </row>
    <row r="40" ht="14.25">
      <c r="A40" s="30">
        <v>3</v>
      </c>
      <c r="B40" s="35">
        <v>0.155</v>
      </c>
      <c r="C40" s="35">
        <v>0.84499999999999997</v>
      </c>
      <c r="D40" s="35">
        <v>1.75</v>
      </c>
      <c r="E40" s="39" t="s">
        <v>48</v>
      </c>
      <c r="F40" s="36">
        <v>73.120000000000005</v>
      </c>
      <c r="G40" s="36">
        <v>22.047000000000001</v>
      </c>
      <c r="H40" s="37">
        <v>3.7450000000000001</v>
      </c>
      <c r="I40" s="37">
        <v>1.0880000000000001</v>
      </c>
      <c r="J40" s="38">
        <f t="shared" si="41"/>
        <v>95.167000000000002</v>
      </c>
      <c r="K40" s="37">
        <f t="shared" si="42"/>
        <v>4.8330000000000002</v>
      </c>
    </row>
    <row r="41" ht="14.25">
      <c r="A41" s="30">
        <v>3</v>
      </c>
      <c r="B41" s="35">
        <v>0.155</v>
      </c>
      <c r="C41" s="35">
        <v>0.84499999999999997</v>
      </c>
      <c r="D41" s="35">
        <v>0.5</v>
      </c>
      <c r="E41" s="39" t="s">
        <v>48</v>
      </c>
      <c r="F41" s="36">
        <v>44.045000000000002</v>
      </c>
      <c r="G41" s="36">
        <v>35.448</v>
      </c>
      <c r="H41" s="37">
        <v>19.184000000000001</v>
      </c>
      <c r="I41" s="37">
        <v>1.323</v>
      </c>
      <c r="J41" s="38">
        <f t="shared" si="41"/>
        <v>79.492999999999995</v>
      </c>
      <c r="K41" s="37">
        <f t="shared" si="42"/>
        <v>20.507000000000001</v>
      </c>
    </row>
    <row r="42" ht="14.25">
      <c r="A42" s="30">
        <v>3</v>
      </c>
      <c r="B42" s="35">
        <v>0.155</v>
      </c>
      <c r="C42" s="35">
        <v>0</v>
      </c>
      <c r="D42" s="35">
        <v>0.10000000000000001</v>
      </c>
      <c r="E42" s="39" t="s">
        <v>48</v>
      </c>
      <c r="F42" s="36">
        <v>15.685</v>
      </c>
      <c r="G42" s="36">
        <v>0.157</v>
      </c>
      <c r="H42" s="37">
        <v>82.992000000000004</v>
      </c>
      <c r="I42" s="37">
        <v>1.167</v>
      </c>
      <c r="J42" s="38">
        <f t="shared" si="41"/>
        <v>15.842000000000001</v>
      </c>
      <c r="K42" s="37">
        <f t="shared" si="42"/>
        <v>84.159000000000006</v>
      </c>
    </row>
    <row r="43" ht="14.25">
      <c r="A43" s="30">
        <v>3</v>
      </c>
      <c r="B43" s="35">
        <v>0.155</v>
      </c>
      <c r="C43" s="35">
        <v>0.84499999999999997</v>
      </c>
      <c r="D43" s="35">
        <v>0.10000000000000001</v>
      </c>
      <c r="E43" s="39" t="s">
        <v>48</v>
      </c>
      <c r="F43" s="36">
        <v>22.263000000000002</v>
      </c>
      <c r="G43" s="36">
        <v>25.262</v>
      </c>
      <c r="H43" s="37">
        <v>51.289000000000001</v>
      </c>
      <c r="I43" s="37">
        <v>1.1859999999999999</v>
      </c>
      <c r="J43" s="38">
        <f t="shared" si="41"/>
        <v>47.525000000000006</v>
      </c>
      <c r="K43" s="37">
        <f t="shared" si="42"/>
        <v>52.475000000000001</v>
      </c>
      <c r="N43" s="26"/>
      <c r="O43" s="26"/>
      <c r="P43" s="26"/>
      <c r="Q43" s="26"/>
      <c r="R43" s="29"/>
    </row>
    <row r="44" ht="14.25">
      <c r="A44" s="30">
        <v>4</v>
      </c>
      <c r="B44" s="35">
        <v>0.155</v>
      </c>
      <c r="C44" s="35">
        <v>0.54500000000000004</v>
      </c>
      <c r="D44" s="35">
        <v>0.25</v>
      </c>
      <c r="E44" s="32"/>
      <c r="F44" s="36">
        <v>47.034999999999997</v>
      </c>
      <c r="G44" s="36">
        <v>0.69599999999999995</v>
      </c>
      <c r="H44" s="37">
        <v>0.29399999999999998</v>
      </c>
      <c r="I44" s="37">
        <v>51.975000000000001</v>
      </c>
      <c r="J44" s="38">
        <f t="shared" si="41"/>
        <v>47.730999999999995</v>
      </c>
      <c r="K44" s="37">
        <f t="shared" si="42"/>
        <v>52.268999999999998</v>
      </c>
      <c r="N44" s="26"/>
      <c r="O44" s="26"/>
      <c r="P44" s="26"/>
      <c r="Q44" s="26"/>
      <c r="R44" s="29"/>
    </row>
    <row r="45" ht="14.25">
      <c r="A45" s="30">
        <v>4</v>
      </c>
      <c r="B45" s="35">
        <v>0.155</v>
      </c>
      <c r="C45" s="35">
        <v>0.84499999999999997</v>
      </c>
      <c r="D45" s="35">
        <v>0.25</v>
      </c>
      <c r="E45" s="32"/>
      <c r="F45" s="36">
        <v>55.317999999999998</v>
      </c>
      <c r="G45" s="36">
        <v>0.97999999999999998</v>
      </c>
      <c r="H45" s="37">
        <v>0.01</v>
      </c>
      <c r="I45" s="37">
        <v>43.692</v>
      </c>
      <c r="J45" s="38">
        <f t="shared" si="41"/>
        <v>56.297999999999995</v>
      </c>
      <c r="K45" s="37">
        <f t="shared" si="42"/>
        <v>43.701999999999998</v>
      </c>
      <c r="N45" s="26"/>
      <c r="O45" s="26"/>
      <c r="P45" s="26"/>
      <c r="Q45" s="26"/>
      <c r="R45" s="29"/>
    </row>
    <row r="46" ht="14.25">
      <c r="A46" s="30">
        <v>4</v>
      </c>
      <c r="B46" s="35">
        <v>0.155</v>
      </c>
      <c r="C46" s="35">
        <v>1.5449999999999999</v>
      </c>
      <c r="D46" s="35">
        <v>0.25</v>
      </c>
      <c r="E46" s="32"/>
      <c r="F46" s="36">
        <v>61.072000000000003</v>
      </c>
      <c r="G46" s="36">
        <v>0.97999999999999998</v>
      </c>
      <c r="H46" s="37">
        <v>0.01</v>
      </c>
      <c r="I46" s="37">
        <v>37.936999999999998</v>
      </c>
      <c r="J46" s="38">
        <f t="shared" si="41"/>
        <v>62.052</v>
      </c>
      <c r="K46" s="37">
        <f t="shared" si="42"/>
        <v>37.946999999999996</v>
      </c>
      <c r="N46" s="26"/>
      <c r="O46" s="26"/>
      <c r="P46" s="26"/>
      <c r="Q46" s="26"/>
      <c r="R46" s="29"/>
    </row>
    <row r="47" ht="14.25">
      <c r="A47" s="30">
        <v>4</v>
      </c>
      <c r="B47" s="35">
        <v>0.155</v>
      </c>
      <c r="C47" s="35">
        <v>0.84499999999999997</v>
      </c>
      <c r="D47" s="35">
        <v>1.75</v>
      </c>
      <c r="E47" s="32"/>
      <c r="F47" s="36">
        <v>71.709000000000003</v>
      </c>
      <c r="G47" s="36">
        <v>0.97999999999999998</v>
      </c>
      <c r="H47" s="37">
        <v>0.01</v>
      </c>
      <c r="I47" s="37">
        <v>27.300999999999998</v>
      </c>
      <c r="J47" s="38">
        <f t="shared" si="41"/>
        <v>72.689000000000007</v>
      </c>
      <c r="K47" s="37">
        <f t="shared" si="42"/>
        <v>27.311</v>
      </c>
      <c r="N47" s="26"/>
      <c r="O47" s="26"/>
      <c r="P47" s="26"/>
      <c r="Q47" s="26"/>
      <c r="R47" s="29"/>
    </row>
    <row r="48" ht="14.25">
      <c r="A48" s="30">
        <v>4</v>
      </c>
      <c r="B48" s="35">
        <v>0.155</v>
      </c>
      <c r="C48" s="35">
        <v>0.84499999999999997</v>
      </c>
      <c r="D48" s="35">
        <v>0.5</v>
      </c>
      <c r="E48" s="32"/>
      <c r="F48" s="36">
        <v>62.014000000000003</v>
      </c>
      <c r="G48" s="36">
        <v>0.97999999999999998</v>
      </c>
      <c r="H48" s="37">
        <v>0.01</v>
      </c>
      <c r="I48" s="37">
        <v>36.996000000000002</v>
      </c>
      <c r="J48" s="38">
        <f t="shared" si="41"/>
        <v>62.994</v>
      </c>
      <c r="K48" s="37">
        <f t="shared" si="42"/>
        <v>37.006</v>
      </c>
      <c r="N48" s="26"/>
      <c r="O48" s="26"/>
      <c r="P48" s="26"/>
      <c r="Q48" s="26"/>
      <c r="R48" s="29"/>
    </row>
    <row r="49" ht="14.25">
      <c r="A49" s="30">
        <v>4</v>
      </c>
      <c r="B49" s="35">
        <v>0.155</v>
      </c>
      <c r="C49" s="35">
        <v>0</v>
      </c>
      <c r="D49" s="35">
        <v>0.10000000000000001</v>
      </c>
      <c r="E49" s="32"/>
      <c r="F49" s="36">
        <v>15.685</v>
      </c>
      <c r="G49" s="36">
        <v>0.157</v>
      </c>
      <c r="H49" s="37">
        <v>0.83299999999999996</v>
      </c>
      <c r="I49" s="37">
        <v>83.325000000000003</v>
      </c>
      <c r="J49" s="38">
        <f t="shared" si="41"/>
        <v>15.842000000000001</v>
      </c>
      <c r="K49" s="37">
        <f t="shared" si="42"/>
        <v>84.158000000000001</v>
      </c>
      <c r="N49" s="26"/>
      <c r="O49" s="26"/>
      <c r="P49" s="26"/>
      <c r="Q49" s="26"/>
      <c r="R49" s="29"/>
    </row>
    <row r="50" ht="14.25">
      <c r="A50" s="30">
        <v>4</v>
      </c>
      <c r="B50" s="35">
        <v>0.155</v>
      </c>
      <c r="C50" s="35">
        <v>0.84499999999999997</v>
      </c>
      <c r="D50" s="35">
        <v>0.10000000000000001</v>
      </c>
      <c r="E50" s="32"/>
      <c r="F50" s="36">
        <v>45.368000000000002</v>
      </c>
      <c r="G50" s="36">
        <v>0.97999999999999998</v>
      </c>
      <c r="H50" s="37">
        <v>0.01</v>
      </c>
      <c r="I50" s="37">
        <v>53.642000000000003</v>
      </c>
      <c r="J50" s="38">
        <f t="shared" si="41"/>
        <v>46.347999999999999</v>
      </c>
      <c r="K50" s="37">
        <f t="shared" si="42"/>
        <v>53.652000000000001</v>
      </c>
      <c r="N50" s="26"/>
      <c r="O50" s="26"/>
      <c r="P50" s="26"/>
      <c r="Q50" s="26"/>
      <c r="R50" s="29"/>
    </row>
    <row r="51" ht="14.25">
      <c r="A51" s="30">
        <v>4</v>
      </c>
      <c r="B51" s="35">
        <v>0.155</v>
      </c>
      <c r="C51" s="35">
        <v>0.54500000000000004</v>
      </c>
      <c r="D51" s="35">
        <v>0.25</v>
      </c>
      <c r="E51" s="39" t="s">
        <v>48</v>
      </c>
      <c r="F51" s="36">
        <v>33.015999999999998</v>
      </c>
      <c r="G51" s="36">
        <v>14.773</v>
      </c>
      <c r="H51" s="37">
        <v>0.84299999999999997</v>
      </c>
      <c r="I51" s="37">
        <v>51.368000000000002</v>
      </c>
      <c r="J51" s="38">
        <f t="shared" si="41"/>
        <v>47.789000000000001</v>
      </c>
      <c r="K51" s="37">
        <f t="shared" si="42"/>
        <v>52.210999999999999</v>
      </c>
    </row>
    <row r="52" ht="14.25">
      <c r="A52" s="30">
        <v>4</v>
      </c>
      <c r="B52" s="35">
        <v>0.155</v>
      </c>
      <c r="C52" s="35">
        <v>0.84499999999999997</v>
      </c>
      <c r="D52" s="35">
        <v>0.25</v>
      </c>
      <c r="E52" s="39" t="s">
        <v>48</v>
      </c>
      <c r="F52" s="36">
        <v>49.593000000000004</v>
      </c>
      <c r="G52" s="36">
        <v>6.7050000000000001</v>
      </c>
      <c r="H52" s="37">
        <v>0.01</v>
      </c>
      <c r="I52" s="37">
        <v>43.692</v>
      </c>
      <c r="J52" s="38">
        <f t="shared" si="41"/>
        <v>56.298000000000002</v>
      </c>
      <c r="K52" s="37">
        <f t="shared" si="42"/>
        <v>43.701999999999998</v>
      </c>
    </row>
    <row r="53" ht="14.25">
      <c r="A53" s="30">
        <v>4</v>
      </c>
      <c r="B53" s="35">
        <v>0.155</v>
      </c>
      <c r="C53" s="35">
        <v>1.5449999999999999</v>
      </c>
      <c r="D53" s="35">
        <v>0.25</v>
      </c>
      <c r="E53" s="39" t="s">
        <v>48</v>
      </c>
      <c r="F53" s="36">
        <v>60.837000000000003</v>
      </c>
      <c r="G53" s="36">
        <v>1.216</v>
      </c>
      <c r="H53" s="37">
        <v>0.01</v>
      </c>
      <c r="I53" s="37">
        <v>37.936999999999998</v>
      </c>
      <c r="J53" s="38">
        <f t="shared" si="41"/>
        <v>62.053000000000004</v>
      </c>
      <c r="K53" s="37">
        <f t="shared" si="42"/>
        <v>37.946999999999996</v>
      </c>
    </row>
    <row r="54" ht="14.25">
      <c r="A54" s="30">
        <v>4</v>
      </c>
      <c r="B54" s="35">
        <v>0.155</v>
      </c>
      <c r="C54" s="35">
        <v>0.84499999999999997</v>
      </c>
      <c r="D54" s="35">
        <v>1.75</v>
      </c>
      <c r="E54" s="39" t="s">
        <v>48</v>
      </c>
      <c r="F54" s="36">
        <v>69.885000000000005</v>
      </c>
      <c r="G54" s="36">
        <v>2.7250000000000001</v>
      </c>
      <c r="H54" s="37">
        <v>0.01</v>
      </c>
      <c r="I54" s="37">
        <v>27.379999999999999</v>
      </c>
      <c r="J54" s="38">
        <f t="shared" si="41"/>
        <v>72.609999999999999</v>
      </c>
      <c r="K54" s="37">
        <f t="shared" si="42"/>
        <v>27.390000000000001</v>
      </c>
    </row>
    <row r="55" ht="14.25">
      <c r="A55" s="30">
        <v>4</v>
      </c>
      <c r="B55" s="35">
        <v>0.155</v>
      </c>
      <c r="C55" s="35">
        <v>0.84499999999999997</v>
      </c>
      <c r="D55" s="35">
        <v>0.5</v>
      </c>
      <c r="E55" s="39" t="s">
        <v>48</v>
      </c>
      <c r="F55" s="36">
        <v>58.670999999999999</v>
      </c>
      <c r="G55" s="36">
        <v>4.3230000000000004</v>
      </c>
      <c r="H55" s="37">
        <v>0.01</v>
      </c>
      <c r="I55" s="37">
        <v>36.996000000000002</v>
      </c>
      <c r="J55" s="38">
        <f t="shared" si="41"/>
        <v>62.994</v>
      </c>
      <c r="K55" s="37">
        <f t="shared" si="42"/>
        <v>37.006</v>
      </c>
    </row>
    <row r="56" ht="14.25">
      <c r="A56" s="30">
        <v>4</v>
      </c>
      <c r="B56" s="35">
        <v>0.155</v>
      </c>
      <c r="C56" s="35">
        <v>0</v>
      </c>
      <c r="D56" s="35">
        <v>0.10000000000000001</v>
      </c>
      <c r="E56" s="39" t="s">
        <v>48</v>
      </c>
      <c r="F56" s="36">
        <v>15.685</v>
      </c>
      <c r="G56" s="36">
        <v>0.157</v>
      </c>
      <c r="H56" s="37">
        <v>3.9510000000000001</v>
      </c>
      <c r="I56" s="37">
        <v>80.207999999999998</v>
      </c>
      <c r="J56" s="38">
        <f t="shared" si="41"/>
        <v>15.842000000000001</v>
      </c>
      <c r="K56" s="37">
        <f t="shared" si="42"/>
        <v>84.158999999999992</v>
      </c>
      <c r="M56" s="26"/>
      <c r="N56" s="26"/>
      <c r="O56" s="26"/>
      <c r="P56" s="26"/>
      <c r="Q56" s="26"/>
      <c r="R56" s="29"/>
    </row>
    <row r="57" ht="14.25">
      <c r="A57" s="30">
        <v>4</v>
      </c>
      <c r="B57" s="35">
        <v>0.155</v>
      </c>
      <c r="C57" s="35">
        <v>0.84499999999999997</v>
      </c>
      <c r="D57" s="35">
        <v>0.10000000000000001</v>
      </c>
      <c r="E57" s="39" t="s">
        <v>48</v>
      </c>
      <c r="F57" s="36">
        <v>34.771000000000001</v>
      </c>
      <c r="G57" s="36">
        <v>11.577</v>
      </c>
      <c r="H57" s="37">
        <v>0.01</v>
      </c>
      <c r="I57" s="37">
        <v>53.642000000000003</v>
      </c>
      <c r="J57" s="38">
        <f t="shared" si="41"/>
        <v>46.347999999999999</v>
      </c>
      <c r="K57" s="37">
        <f t="shared" si="42"/>
        <v>53.652000000000001</v>
      </c>
      <c r="M57" s="26"/>
      <c r="N57" s="26"/>
      <c r="O57" s="26"/>
      <c r="P57" s="26"/>
      <c r="Q57" s="26"/>
      <c r="R57" s="29"/>
    </row>
    <row r="58" ht="14.25">
      <c r="M58" s="26"/>
      <c r="N58" s="26"/>
      <c r="O58" s="26"/>
      <c r="P58" s="26"/>
      <c r="Q58" s="26"/>
      <c r="R58" s="29"/>
    </row>
    <row r="59" ht="14.25">
      <c r="M59" s="26"/>
      <c r="N59" s="26"/>
      <c r="O59" s="26"/>
      <c r="P59" s="26"/>
      <c r="Q59" s="26"/>
      <c r="R59" s="29"/>
    </row>
    <row r="60" ht="14.25">
      <c r="M60" s="26"/>
      <c r="N60" s="26"/>
      <c r="O60" s="26"/>
      <c r="P60" s="26"/>
      <c r="Q60" s="26"/>
      <c r="R60" s="29"/>
    </row>
    <row r="61" ht="14.25">
      <c r="E61" s="26">
        <f>$A8</f>
        <v>1</v>
      </c>
      <c r="F61" s="42">
        <f>$B8</f>
        <v>0.155</v>
      </c>
      <c r="G61" s="42">
        <f>$C8</f>
        <v>0.84499999999999997</v>
      </c>
      <c r="H61" s="40">
        <f>$D8</f>
        <v>0.10000000000000001</v>
      </c>
      <c r="I61" s="41">
        <f>$J8</f>
        <v>38.015999999999998</v>
      </c>
      <c r="M61" s="26"/>
      <c r="N61" s="26"/>
      <c r="O61" s="26"/>
      <c r="P61" s="26"/>
      <c r="Q61" s="26"/>
      <c r="R61" s="29"/>
    </row>
    <row r="62" ht="14.25">
      <c r="E62" s="26">
        <f>$A3</f>
        <v>1</v>
      </c>
      <c r="F62" s="42">
        <f>$B3</f>
        <v>0.155</v>
      </c>
      <c r="G62" s="42">
        <f>$C3</f>
        <v>0.84499999999999997</v>
      </c>
      <c r="H62" s="40">
        <f>$D3</f>
        <v>0.25</v>
      </c>
      <c r="I62" s="41">
        <f>$J3</f>
        <v>52.504999999999995</v>
      </c>
      <c r="M62" s="26"/>
      <c r="N62" s="26"/>
      <c r="O62" s="26"/>
      <c r="P62" s="26"/>
      <c r="Q62" s="26"/>
      <c r="R62" s="29"/>
    </row>
    <row r="63" ht="14.25">
      <c r="E63" s="26">
        <f>$A6</f>
        <v>1</v>
      </c>
      <c r="F63" s="42">
        <f>$B6</f>
        <v>0.155</v>
      </c>
      <c r="G63" s="42">
        <f>$C6</f>
        <v>0.84499999999999997</v>
      </c>
      <c r="H63" s="40">
        <f>$D6</f>
        <v>0.5</v>
      </c>
      <c r="I63" s="41">
        <f>$J6</f>
        <v>63.612000000000002</v>
      </c>
      <c r="M63" s="26"/>
      <c r="N63" s="26"/>
      <c r="O63" s="26"/>
      <c r="P63" s="26"/>
      <c r="Q63" s="26"/>
      <c r="R63" s="29"/>
    </row>
    <row r="64" ht="14.25">
      <c r="E64" s="26">
        <f>$A5</f>
        <v>1</v>
      </c>
      <c r="F64" s="42">
        <f>$B5</f>
        <v>0.155</v>
      </c>
      <c r="G64" s="42">
        <f>$C5</f>
        <v>0.84499999999999997</v>
      </c>
      <c r="H64" s="40">
        <f>$D5</f>
        <v>1.75</v>
      </c>
      <c r="I64" s="41">
        <f>$J5</f>
        <v>84.599999999999994</v>
      </c>
      <c r="M64" s="26"/>
      <c r="N64" s="26"/>
      <c r="O64" s="26"/>
      <c r="P64" s="26"/>
      <c r="Q64" s="26"/>
      <c r="R64" s="29"/>
    </row>
    <row r="65" ht="14.25">
      <c r="D65" s="43" t="s">
        <v>15</v>
      </c>
      <c r="E65" s="26">
        <f>$A15</f>
        <v>1</v>
      </c>
      <c r="F65" s="42">
        <f>$B15</f>
        <v>0.155</v>
      </c>
      <c r="G65" s="42">
        <f>$C15</f>
        <v>0.84499999999999997</v>
      </c>
      <c r="H65" s="44">
        <f>$D15</f>
        <v>0.10000000000000001</v>
      </c>
      <c r="I65" s="45">
        <f>$J15</f>
        <v>38.838999999999999</v>
      </c>
      <c r="M65" s="26"/>
      <c r="N65" s="26"/>
      <c r="O65" s="26"/>
      <c r="P65" s="26"/>
      <c r="Q65" s="26"/>
      <c r="R65" s="29"/>
    </row>
    <row r="66" ht="14.25">
      <c r="D66" s="43" t="s">
        <v>15</v>
      </c>
      <c r="E66" s="26">
        <f>$A10</f>
        <v>1</v>
      </c>
      <c r="F66" s="42">
        <f>$B10</f>
        <v>0.155</v>
      </c>
      <c r="G66" s="42">
        <f>$C10</f>
        <v>0.84499999999999997</v>
      </c>
      <c r="H66" s="44">
        <f>$D10</f>
        <v>0.25</v>
      </c>
      <c r="I66" s="45">
        <f>$J10</f>
        <v>52.858000000000004</v>
      </c>
      <c r="M66" s="26"/>
      <c r="N66" s="26"/>
      <c r="O66" s="26"/>
      <c r="P66" s="26"/>
      <c r="Q66" s="26"/>
      <c r="R66" s="29"/>
    </row>
    <row r="67" ht="14.25">
      <c r="D67" s="43" t="s">
        <v>15</v>
      </c>
      <c r="E67" s="26">
        <f>$A13</f>
        <v>1</v>
      </c>
      <c r="F67" s="42">
        <f>$B13</f>
        <v>0.155</v>
      </c>
      <c r="G67" s="42">
        <f>$C13</f>
        <v>0.84499999999999997</v>
      </c>
      <c r="H67" s="44">
        <f>$D13</f>
        <v>0.5</v>
      </c>
      <c r="I67" s="45">
        <f>$J13</f>
        <v>63.728999999999999</v>
      </c>
      <c r="M67" s="26"/>
      <c r="N67" s="26"/>
      <c r="O67" s="26"/>
      <c r="P67" s="26"/>
      <c r="Q67" s="26"/>
      <c r="R67" s="29"/>
    </row>
    <row r="68" ht="14.25">
      <c r="D68" s="43" t="s">
        <v>15</v>
      </c>
      <c r="E68" s="26">
        <f>$A12</f>
        <v>1</v>
      </c>
      <c r="F68" s="42">
        <f>$B12</f>
        <v>0.155</v>
      </c>
      <c r="G68" s="42">
        <f>$C12</f>
        <v>0.84499999999999997</v>
      </c>
      <c r="H68" s="44">
        <f>$D12</f>
        <v>1.75</v>
      </c>
      <c r="I68" s="45">
        <f>$J12</f>
        <v>84.188000000000002</v>
      </c>
      <c r="M68" s="26"/>
      <c r="N68" s="26"/>
      <c r="O68" s="26"/>
      <c r="P68" s="26"/>
      <c r="Q68" s="26"/>
      <c r="R68" s="29"/>
    </row>
    <row r="69" ht="14.25">
      <c r="D69" s="26" t="str">
        <f>E25</f>
        <v xml:space="preserve"> FSE</v>
      </c>
      <c r="E69" s="26">
        <f>A22</f>
        <v>2</v>
      </c>
      <c r="F69" s="42">
        <f>B22</f>
        <v>0.155</v>
      </c>
      <c r="G69" s="42">
        <f>C22</f>
        <v>0.84499999999999997</v>
      </c>
      <c r="H69" s="40">
        <f>D22</f>
        <v>0.10000000000000001</v>
      </c>
      <c r="I69" s="41">
        <f>J22</f>
        <v>20.811</v>
      </c>
      <c r="M69" s="26"/>
      <c r="N69" s="26"/>
      <c r="O69" s="26"/>
      <c r="P69" s="26"/>
      <c r="Q69" s="26"/>
      <c r="R69" s="29"/>
    </row>
    <row r="70" ht="14.25">
      <c r="D70" s="26" t="str">
        <f>E14</f>
        <v xml:space="preserve"> FSE</v>
      </c>
      <c r="E70" s="26">
        <f>A17</f>
        <v>2</v>
      </c>
      <c r="F70" s="42">
        <f>B17</f>
        <v>0.155</v>
      </c>
      <c r="G70" s="42">
        <f>C17</f>
        <v>0.84499999999999997</v>
      </c>
      <c r="H70" s="40">
        <f>D17</f>
        <v>0.25</v>
      </c>
      <c r="I70" s="41">
        <f>J17</f>
        <v>26.948</v>
      </c>
    </row>
    <row r="71" ht="14.25">
      <c r="D71" s="26">
        <f>E21</f>
        <v>0</v>
      </c>
      <c r="E71" s="26">
        <f>A20</f>
        <v>2</v>
      </c>
      <c r="F71" s="42">
        <f>B20</f>
        <v>0.155</v>
      </c>
      <c r="G71" s="42">
        <f>C20</f>
        <v>0.84499999999999997</v>
      </c>
      <c r="H71" s="40">
        <f>D20</f>
        <v>0.5</v>
      </c>
      <c r="I71" s="41">
        <f>J20</f>
        <v>35.789999999999999</v>
      </c>
    </row>
    <row r="72" ht="14.25">
      <c r="D72" s="26">
        <f>E19</f>
        <v>0</v>
      </c>
      <c r="E72" s="26">
        <f>A19</f>
        <v>2</v>
      </c>
      <c r="F72" s="42">
        <f>B19</f>
        <v>0.155</v>
      </c>
      <c r="G72" s="42">
        <f>C19</f>
        <v>0.84499999999999997</v>
      </c>
      <c r="H72" s="40">
        <f>D19</f>
        <v>1.75</v>
      </c>
      <c r="I72" s="41">
        <f>J19</f>
        <v>62.149999999999999</v>
      </c>
    </row>
    <row r="73" ht="14.25">
      <c r="D73" s="26" t="str">
        <f>E29</f>
        <v xml:space="preserve"> FSE</v>
      </c>
      <c r="E73" s="26">
        <f>A29</f>
        <v>2</v>
      </c>
      <c r="F73" s="42">
        <f>B29</f>
        <v>0.155</v>
      </c>
      <c r="G73" s="42">
        <f>C29</f>
        <v>0.84499999999999997</v>
      </c>
      <c r="H73" s="44">
        <f>D29</f>
        <v>0.10000000000000001</v>
      </c>
      <c r="I73" s="45">
        <f>J29</f>
        <v>20.811</v>
      </c>
    </row>
    <row r="74" ht="14.25">
      <c r="D74" s="26" t="str">
        <f>E24</f>
        <v xml:space="preserve"> FSE</v>
      </c>
      <c r="E74" s="26">
        <f>A24</f>
        <v>2</v>
      </c>
      <c r="F74" s="42">
        <f>B24</f>
        <v>0.155</v>
      </c>
      <c r="G74" s="42">
        <f>C24</f>
        <v>0.84499999999999997</v>
      </c>
      <c r="H74" s="44">
        <f>D24</f>
        <v>0.25</v>
      </c>
      <c r="I74" s="45">
        <f>J24</f>
        <v>26.948</v>
      </c>
    </row>
    <row r="75" ht="14.25">
      <c r="D75" s="26" t="str">
        <f>E27</f>
        <v xml:space="preserve"> FSE</v>
      </c>
      <c r="E75" s="26">
        <f>A27</f>
        <v>2</v>
      </c>
      <c r="F75" s="42">
        <f>B27</f>
        <v>0.155</v>
      </c>
      <c r="G75" s="42">
        <f>C27</f>
        <v>0.84499999999999997</v>
      </c>
      <c r="H75" s="44">
        <f>D27</f>
        <v>0.5</v>
      </c>
      <c r="I75" s="45">
        <f>J27</f>
        <v>35.780999999999999</v>
      </c>
    </row>
    <row r="76" ht="14.25">
      <c r="D76" s="26">
        <f>E22</f>
        <v>0</v>
      </c>
      <c r="E76" s="26">
        <f>A26</f>
        <v>2</v>
      </c>
      <c r="F76" s="42">
        <f>B26</f>
        <v>0.155</v>
      </c>
      <c r="G76" s="42">
        <f>C26</f>
        <v>0.84499999999999997</v>
      </c>
      <c r="H76" s="44">
        <f>D26</f>
        <v>1.75</v>
      </c>
      <c r="I76" s="45">
        <f>J26</f>
        <v>61.846999999999994</v>
      </c>
    </row>
    <row r="77" ht="14.25">
      <c r="D77" s="26">
        <f>E36</f>
        <v>0</v>
      </c>
      <c r="E77" s="26">
        <f>A36</f>
        <v>3</v>
      </c>
      <c r="F77" s="26">
        <f>B36</f>
        <v>0.155</v>
      </c>
      <c r="G77" s="26">
        <f>C36</f>
        <v>0.84499999999999997</v>
      </c>
      <c r="H77" s="40">
        <f>D36</f>
        <v>0.10000000000000001</v>
      </c>
      <c r="I77" s="41">
        <f>F36</f>
        <v>23.096</v>
      </c>
    </row>
    <row r="78" ht="14.25">
      <c r="D78" s="26">
        <f>E31</f>
        <v>0</v>
      </c>
      <c r="E78" s="26">
        <f>A31</f>
        <v>3</v>
      </c>
      <c r="F78" s="26">
        <f>B31</f>
        <v>0.155</v>
      </c>
      <c r="G78" s="26">
        <f>C31</f>
        <v>0.84499999999999997</v>
      </c>
      <c r="H78" s="40">
        <f>D31</f>
        <v>0.25</v>
      </c>
      <c r="I78" s="41">
        <f>F31</f>
        <v>33.143999999999998</v>
      </c>
    </row>
    <row r="79" ht="14.25">
      <c r="D79" s="26">
        <f>E34</f>
        <v>0</v>
      </c>
      <c r="E79" s="26">
        <f>A34</f>
        <v>3</v>
      </c>
      <c r="F79" s="26">
        <f>B34</f>
        <v>0.155</v>
      </c>
      <c r="G79" s="26">
        <f>C34</f>
        <v>0.84499999999999997</v>
      </c>
      <c r="H79" s="40">
        <f>D34</f>
        <v>0.5</v>
      </c>
      <c r="I79" s="41">
        <f>F34</f>
        <v>46.270000000000003</v>
      </c>
    </row>
    <row r="80" ht="14.25">
      <c r="D80" s="26">
        <f>E33</f>
        <v>0</v>
      </c>
      <c r="E80" s="26">
        <f>A33</f>
        <v>3</v>
      </c>
      <c r="F80" s="26">
        <f>B33</f>
        <v>0.155</v>
      </c>
      <c r="G80" s="26">
        <f>C33</f>
        <v>0.84499999999999997</v>
      </c>
      <c r="H80" s="40">
        <f>D33</f>
        <v>1.75</v>
      </c>
      <c r="I80" s="41">
        <f>F33</f>
        <v>76.599999999999994</v>
      </c>
    </row>
    <row r="81" ht="14.25">
      <c r="D81" s="26" t="str">
        <f>E43</f>
        <v xml:space="preserve"> FSE</v>
      </c>
      <c r="E81" s="26">
        <f>A43</f>
        <v>3</v>
      </c>
      <c r="F81" s="26">
        <f>B43</f>
        <v>0.155</v>
      </c>
      <c r="G81" s="26">
        <f>C43</f>
        <v>0.84499999999999997</v>
      </c>
      <c r="H81" s="44">
        <f>D43</f>
        <v>0.10000000000000001</v>
      </c>
      <c r="I81" s="45">
        <f>F43</f>
        <v>22.263000000000002</v>
      </c>
    </row>
    <row r="82" ht="14.25">
      <c r="D82" s="26" t="str">
        <f>E38</f>
        <v xml:space="preserve"> FSE</v>
      </c>
      <c r="E82" s="26">
        <f>A38</f>
        <v>3</v>
      </c>
      <c r="F82" s="26">
        <f>B38</f>
        <v>0.155</v>
      </c>
      <c r="G82" s="26">
        <f>C38</f>
        <v>0.84499999999999997</v>
      </c>
      <c r="H82" s="44">
        <f>D38</f>
        <v>0.25</v>
      </c>
      <c r="I82" s="45">
        <f>F38</f>
        <v>31.614999999999998</v>
      </c>
    </row>
    <row r="83" ht="14.25">
      <c r="D83" s="26" t="str">
        <f>E41</f>
        <v xml:space="preserve"> FSE</v>
      </c>
      <c r="E83" s="26">
        <f>A41</f>
        <v>3</v>
      </c>
      <c r="F83" s="26">
        <f>B41</f>
        <v>0.155</v>
      </c>
      <c r="G83" s="26">
        <f>C41</f>
        <v>0.84499999999999997</v>
      </c>
      <c r="H83" s="44">
        <f>D41</f>
        <v>0.5</v>
      </c>
      <c r="I83" s="45">
        <f>F41</f>
        <v>44.045000000000002</v>
      </c>
    </row>
    <row r="84" ht="14.25">
      <c r="D84" s="26" t="str">
        <f>E40</f>
        <v xml:space="preserve"> FSE</v>
      </c>
      <c r="E84" s="26">
        <f>A40</f>
        <v>3</v>
      </c>
      <c r="F84" s="26">
        <f>B40</f>
        <v>0.155</v>
      </c>
      <c r="G84" s="26">
        <f>C40</f>
        <v>0.84499999999999997</v>
      </c>
      <c r="H84" s="44">
        <f>D40</f>
        <v>1.75</v>
      </c>
      <c r="I84" s="45">
        <f>F40</f>
        <v>73.120000000000005</v>
      </c>
    </row>
    <row r="85" ht="14.25">
      <c r="D85" s="26">
        <f>E50</f>
        <v>0</v>
      </c>
      <c r="E85" s="26">
        <f>A50</f>
        <v>4</v>
      </c>
      <c r="F85" s="26">
        <f>B50</f>
        <v>0.155</v>
      </c>
      <c r="G85" s="26">
        <f>C50</f>
        <v>0.84499999999999997</v>
      </c>
      <c r="H85" s="40">
        <f>D50</f>
        <v>0.10000000000000001</v>
      </c>
      <c r="I85" s="41">
        <f>F50</f>
        <v>45.368000000000002</v>
      </c>
    </row>
    <row r="86" ht="14.25">
      <c r="D86" s="26">
        <f>E45</f>
        <v>0</v>
      </c>
      <c r="E86" s="26">
        <f>A45</f>
        <v>4</v>
      </c>
      <c r="F86" s="26">
        <f>B45</f>
        <v>0.155</v>
      </c>
      <c r="G86" s="26">
        <f>C45</f>
        <v>0.84499999999999997</v>
      </c>
      <c r="H86" s="40">
        <f>D45</f>
        <v>0.25</v>
      </c>
      <c r="I86" s="41">
        <f>F45</f>
        <v>55.317999999999998</v>
      </c>
    </row>
    <row r="87" ht="14.25">
      <c r="D87" s="26">
        <f>E48</f>
        <v>0</v>
      </c>
      <c r="E87" s="26">
        <f>A48</f>
        <v>4</v>
      </c>
      <c r="F87" s="26">
        <f>B48</f>
        <v>0.155</v>
      </c>
      <c r="G87" s="26">
        <f>C48</f>
        <v>0.84499999999999997</v>
      </c>
      <c r="H87" s="40">
        <f>D48</f>
        <v>0.5</v>
      </c>
      <c r="I87" s="41">
        <f>F48</f>
        <v>62.014000000000003</v>
      </c>
    </row>
    <row r="88" ht="14.25">
      <c r="D88" s="26">
        <f>E47</f>
        <v>0</v>
      </c>
      <c r="E88" s="26">
        <f>A47</f>
        <v>4</v>
      </c>
      <c r="F88" s="26">
        <f>B47</f>
        <v>0.155</v>
      </c>
      <c r="G88" s="26">
        <f>C47</f>
        <v>0.84499999999999997</v>
      </c>
      <c r="H88" s="40">
        <f>D47</f>
        <v>1.75</v>
      </c>
      <c r="I88" s="41">
        <f>F47</f>
        <v>71.709000000000003</v>
      </c>
    </row>
    <row r="89" ht="14.25">
      <c r="D89" s="26" t="str">
        <f>E57</f>
        <v xml:space="preserve"> FSE</v>
      </c>
      <c r="E89" s="26">
        <f>A57</f>
        <v>4</v>
      </c>
      <c r="F89" s="26">
        <f>B57</f>
        <v>0.155</v>
      </c>
      <c r="G89" s="26">
        <f>C57</f>
        <v>0.84499999999999997</v>
      </c>
      <c r="H89" s="44">
        <f>D57</f>
        <v>0.10000000000000001</v>
      </c>
      <c r="I89" s="45">
        <f>F57</f>
        <v>34.771000000000001</v>
      </c>
    </row>
    <row r="90" ht="14.25">
      <c r="D90" s="26" t="str">
        <f>E52</f>
        <v xml:space="preserve"> FSE</v>
      </c>
      <c r="E90" s="26">
        <f>A52</f>
        <v>4</v>
      </c>
      <c r="F90" s="26">
        <f>B52</f>
        <v>0.155</v>
      </c>
      <c r="G90" s="26">
        <f>C52</f>
        <v>0.84499999999999997</v>
      </c>
      <c r="H90" s="44">
        <f>D52</f>
        <v>0.25</v>
      </c>
      <c r="I90" s="45">
        <f>F52</f>
        <v>49.593000000000004</v>
      </c>
    </row>
    <row r="91" ht="14.25">
      <c r="D91" s="26" t="str">
        <f>E55</f>
        <v xml:space="preserve"> FSE</v>
      </c>
      <c r="E91" s="26">
        <f>A55</f>
        <v>4</v>
      </c>
      <c r="F91" s="26">
        <f>B55</f>
        <v>0.155</v>
      </c>
      <c r="G91" s="26">
        <f>C55</f>
        <v>0.84499999999999997</v>
      </c>
      <c r="H91" s="44">
        <f>D55</f>
        <v>0.5</v>
      </c>
      <c r="I91" s="45">
        <f>F55</f>
        <v>58.670999999999999</v>
      </c>
    </row>
    <row r="92" ht="14.25">
      <c r="D92" s="26" t="str">
        <f>E54</f>
        <v xml:space="preserve"> FSE</v>
      </c>
      <c r="E92" s="26">
        <f>A54</f>
        <v>4</v>
      </c>
      <c r="F92" s="26">
        <f>B54</f>
        <v>0.155</v>
      </c>
      <c r="G92" s="26">
        <f>C54</f>
        <v>0.84499999999999997</v>
      </c>
      <c r="H92" s="44">
        <f>D54</f>
        <v>1.75</v>
      </c>
      <c r="I92" s="45">
        <f>F54</f>
        <v>69.885000000000005</v>
      </c>
    </row>
    <row r="93" ht="14.25">
      <c r="D93" s="26"/>
      <c r="E93" s="26"/>
      <c r="F93" s="27"/>
      <c r="G93" s="27"/>
      <c r="H93" s="28"/>
      <c r="I93" s="28"/>
    </row>
    <row r="94" ht="14.25">
      <c r="D94" s="26"/>
      <c r="E94" s="26"/>
      <c r="F94" s="27"/>
      <c r="G94" s="27"/>
      <c r="H94" s="28"/>
      <c r="I94" s="28"/>
    </row>
    <row r="95" ht="14.25">
      <c r="D95" s="26"/>
      <c r="E95" s="26"/>
      <c r="F95" s="27"/>
      <c r="G95" s="27"/>
      <c r="H95" s="28"/>
      <c r="I95" s="28"/>
    </row>
    <row r="96" ht="14.25">
      <c r="D96" s="26"/>
      <c r="E96" s="26"/>
      <c r="F96" s="27"/>
      <c r="G96" s="27"/>
      <c r="H96" s="28"/>
      <c r="I96" s="28"/>
    </row>
    <row r="97" ht="14.25">
      <c r="D97" s="26"/>
      <c r="E97" s="26"/>
      <c r="F97" s="27"/>
      <c r="G97" s="27"/>
      <c r="H97" s="28"/>
      <c r="I97" s="28"/>
    </row>
    <row r="98" ht="14.25">
      <c r="D98" s="26"/>
      <c r="E98" s="26"/>
      <c r="F98" s="27"/>
      <c r="G98" s="27"/>
      <c r="H98" s="28"/>
      <c r="I98" s="28"/>
    </row>
    <row r="99" ht="14.25">
      <c r="D99" s="26"/>
      <c r="E99" s="26"/>
      <c r="F99" s="27"/>
      <c r="G99" s="27"/>
      <c r="H99" s="28"/>
      <c r="I99" s="28"/>
    </row>
    <row r="100" ht="14.25">
      <c r="D100" s="26"/>
      <c r="E100" s="26"/>
      <c r="F100" s="27"/>
      <c r="G100" s="27"/>
      <c r="H100" s="28"/>
      <c r="I100" s="28"/>
    </row>
    <row r="101" ht="14.25">
      <c r="D101" s="26"/>
      <c r="E101" s="26"/>
      <c r="F101" s="27"/>
      <c r="G101" s="27"/>
      <c r="H101" s="28"/>
      <c r="I101" s="28"/>
    </row>
    <row r="102" ht="14.25">
      <c r="D102" s="26"/>
      <c r="E102" s="26"/>
      <c r="F102" s="27"/>
      <c r="G102" s="27"/>
      <c r="H102" s="28"/>
      <c r="I102" s="28"/>
    </row>
    <row r="103" ht="14.25">
      <c r="D103" s="26"/>
      <c r="E103" s="26"/>
      <c r="F103" s="27"/>
      <c r="G103" s="27"/>
      <c r="H103" s="28"/>
      <c r="I103" s="28"/>
    </row>
    <row r="104" ht="14.25">
      <c r="D104" s="26"/>
      <c r="E104" s="26"/>
      <c r="F104" s="27"/>
      <c r="G104" s="27"/>
      <c r="H104" s="28"/>
      <c r="I104" s="28"/>
    </row>
    <row r="105" ht="14.25">
      <c r="D105" s="26"/>
      <c r="E105" s="26"/>
      <c r="F105" s="27"/>
      <c r="G105" s="27"/>
      <c r="H105" s="28"/>
      <c r="I105" s="2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2026-10-05T17:30:58Z</dcterms:modified>
</cp:coreProperties>
</file>