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xl/charts/chart1.xml" ContentType="application/vnd.openxmlformats-officedocument.drawingml.chart+xml"/>
  <Override PartName="/xl/charts/colors1.xml" ContentType="application/vnd.ms-office.chartcolorstyle+xml"/>
  <Override PartName="/xl/theme/theme1.xml" ContentType="application/vnd.openxmlformats-officedocument.theme+xml"/>
  <Override PartName="/xl/charts/style1.xml" ContentType="application/vnd.ms-office.chartstyle+xml"/>
  <Override PartName="/docProps/core.xml" ContentType="application/vnd.openxmlformats-package.core-properties+xml"/>
  <Override PartName="/xl/workbook.xml" ContentType="application/vnd.openxmlformats-officedocument.spreadsheetml.sheet.main+xml"/>
  <Override PartName="/xl/connections.xml" ContentType="application/vnd.openxmlformats-officedocument.spreadsheetml.connections+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ED-FIG-01" sheetId="1" state="visible" r:id="rId2"/>
  </sheets>
  <calcPr/>
  <extLst>
    <ext xmlns:x15="http://schemas.microsoft.com/office/spreadsheetml/2010/11/main" uri="{D0CA8CA8-9F24-4464-BF8E-62219DCF47F9}"/>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name="2019-12-04-NasaData" type="6" background="1" refreshedVersion="6" saveData="1">
    <textPr codePage="437" sourceFile="C:\Users\aloof\Desktop\2019-12-04-NasaData.csv" tab="0" comma="1">
      <textFields count="5">
        <textField/>
        <textField/>
        <textField/>
        <textField/>
        <textField/>
      </textFields>
    </textPr>
  </connection>
</connections>
</file>

<file path=xl/sharedStrings.xml><?xml version="1.0" encoding="utf-8"?>
<sst xmlns="http://schemas.openxmlformats.org/spreadsheetml/2006/main" count="2" uniqueCount="2">
  <si>
    <t>https://www.orbitaldebris.jsc.nasa.gov/quarterly-news/#</t>
  </si>
  <si>
    <t xml:space="preserve">NOTE: The 2007 Fengyun-1C ASAT test and the 2009 Iridium-33, Kosmos-2251 collision have highlighted the sensitivity of the near-Earth environment to single catastrophic events. 
Even if five massive objects were fastidiously removed every year, there still remains the unlucky possibility of a single large collision rendering all of the good work of the previous years useless. 
Removing mass from orbit improves the debris environment, but does not enable actual case by case collision avoidance.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</si>
</sst>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1.000000"/>
      <color theme="1"/>
      <name val="Calibri"/>
      <scheme val="minor"/>
    </font>
    <font>
      <u/>
      <sz val="11.000000"/>
      <color theme="10"/>
      <name val="Calibri"/>
      <scheme val="minor"/>
    </font>
  </fonts>
  <fills count="2">
    <fill>
      <patternFill patternType="none"/>
    </fill>
    <fill>
      <patternFill patternType="gray125"/>
    </fill>
  </fills>
  <borders count="2">
    <border>
      <left style="none"/>
      <right style="none"/>
      <top style="none"/>
      <bottom style="none"/>
      <diagonal style="none"/>
    </border>
    <border>
      <left style="thin">
        <color auto="1"/>
      </left>
      <right style="thin">
        <color auto="1"/>
      </right>
      <top style="thin">
        <color auto="1"/>
      </top>
      <bottom style="thin">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6">
    <xf fontId="0" fillId="0" borderId="0" numFmtId="0" xfId="0"/>
    <xf fontId="0" fillId="0" borderId="0" numFmtId="0" xfId="0"/>
    <xf fontId="0" fillId="0" borderId="1" numFmtId="0" xfId="0" applyBorder="1"/>
    <xf fontId="1" fillId="0" borderId="0" numFmtId="0" xfId="1" applyFont="1"/>
    <xf fontId="0" fillId="0" borderId="0" numFmtId="0" xfId="0" applyAlignment="1">
      <alignment horizontal="left" wrapText="1"/>
    </xf>
    <xf fontId="0" fillId="0" borderId="0" numFmtId="0" xfId="0"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onnections" Target="connections.xml"/><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charts/_rels/chart1.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en-US"/>
  <c:roundedCorners val="0"/>
  <mc:AlternateContent>
    <mc:Choice Requires="c14">
      <c14:style val="102"/>
    </mc:Choice>
    <mc:Fallback>
      <c:style val="2"/>
    </mc:Fallback>
  </mc:AlternateContent>
  <c:chart>
    <c:autoTitleDeleted val="1"/>
    <c:plotArea>
      <c:layout>
        <c:manualLayout>
          <c:layoutTarget val="inner"/>
          <c:xMode val="edge"/>
          <c:yMode val="edge"/>
          <c:x val="0.070140"/>
          <c:y val="0.032960"/>
          <c:w val="0.912390"/>
          <c:h val="0.888220"/>
        </c:manualLayout>
      </c:layout>
      <c:scatterChart>
        <c:scatterStyle val="smoothMarker"/>
        <c:varyColors val="0"/>
        <c:ser>
          <c:idx val="0"/>
          <c:order val="0"/>
          <c:spPr bwMode="auto">
            <a:prstGeom prst="rect">
              <a:avLst/>
            </a:prstGeom>
            <a:solidFill>
              <a:schemeClr val="accent1"/>
            </a:solidFill>
            <a:ln w="19050" cap="rnd">
              <a:solidFill>
                <a:schemeClr val="accent2"/>
              </a:solidFill>
              <a:round/>
            </a:ln>
            <a:effectLst/>
          </c:spPr>
          <c:marker>
            <c:symbol val="circle"/>
            <c:size val="5"/>
            <c:spPr bwMode="auto">
              <a:prstGeom prst="rect">
                <a:avLst/>
              </a:prstGeom>
              <a:solidFill>
                <a:schemeClr val="accent1"/>
              </a:solidFill>
              <a:ln w="9525">
                <a:solidFill>
                  <a:schemeClr val="accent1"/>
                </a:solidFill>
              </a:ln>
            </c:spPr>
          </c:marker>
          <c:xVal>
            <c:numRef>
              <c:f>'ED-FIG-01'!$A$1:$A$35</c:f>
              <c:numCache>
                <c:formatCode>General</c:formatCode>
                <c:ptCount val="35"/>
                <c:pt idx="0">
                  <c:v>1956</c:v>
                </c:pt>
                <c:pt idx="1">
                  <c:v>1958</c:v>
                </c:pt>
                <c:pt idx="2">
                  <c:v>1960</c:v>
                </c:pt>
                <c:pt idx="3">
                  <c:v>1962</c:v>
                </c:pt>
                <c:pt idx="4">
                  <c:v>1964</c:v>
                </c:pt>
                <c:pt idx="5">
                  <c:v>1966</c:v>
                </c:pt>
                <c:pt idx="6">
                  <c:v>1968</c:v>
                </c:pt>
                <c:pt idx="7">
                  <c:v>1970</c:v>
                </c:pt>
                <c:pt idx="8">
                  <c:v>1972</c:v>
                </c:pt>
                <c:pt idx="9">
                  <c:v>1974</c:v>
                </c:pt>
                <c:pt idx="10">
                  <c:v>1976</c:v>
                </c:pt>
                <c:pt idx="11">
                  <c:v>1978</c:v>
                </c:pt>
                <c:pt idx="12">
                  <c:v>1980</c:v>
                </c:pt>
                <c:pt idx="13">
                  <c:v>1982</c:v>
                </c:pt>
                <c:pt idx="14">
                  <c:v>1984</c:v>
                </c:pt>
                <c:pt idx="15">
                  <c:v>1986</c:v>
                </c:pt>
                <c:pt idx="16">
                  <c:v>1988</c:v>
                </c:pt>
                <c:pt idx="17">
                  <c:v>1990</c:v>
                </c:pt>
                <c:pt idx="18">
                  <c:v>1992</c:v>
                </c:pt>
                <c:pt idx="19">
                  <c:v>1994</c:v>
                </c:pt>
                <c:pt idx="20">
                  <c:v>1996</c:v>
                </c:pt>
                <c:pt idx="21">
                  <c:v>1998</c:v>
                </c:pt>
                <c:pt idx="22">
                  <c:v>2000</c:v>
                </c:pt>
                <c:pt idx="23">
                  <c:v>2002</c:v>
                </c:pt>
                <c:pt idx="24">
                  <c:v>2004</c:v>
                </c:pt>
                <c:pt idx="25">
                  <c:v>2006</c:v>
                </c:pt>
                <c:pt idx="26">
                  <c:v>2008</c:v>
                </c:pt>
                <c:pt idx="27">
                  <c:v>2010</c:v>
                </c:pt>
                <c:pt idx="28">
                  <c:v>2012</c:v>
                </c:pt>
                <c:pt idx="29">
                  <c:v>2014</c:v>
                </c:pt>
                <c:pt idx="30">
                  <c:v>2016</c:v>
                </c:pt>
                <c:pt idx="31">
                  <c:v>2018</c:v>
                </c:pt>
                <c:pt idx="32">
                  <c:v>2020</c:v>
                </c:pt>
                <c:pt idx="33">
                  <c:v>2022</c:v>
                </c:pt>
                <c:pt idx="34">
                  <c:v>2024</c:v>
                </c:pt>
              </c:numCache>
            </c:numRef>
          </c:xVal>
          <c:yVal>
            <c:numRef>
              <c:f>'ED-FIG-01'!$C$1:$C$35</c:f>
              <c:numCache>
                <c:formatCode>General</c:formatCode>
                <c:ptCount val="35"/>
                <c:pt idx="0">
                  <c:v>0</c:v>
                </c:pt>
                <c:pt idx="1">
                  <c:v>0.0017416747944823743</c:v>
                </c:pt>
                <c:pt idx="2">
                  <c:v>0.0034833495889647487</c:v>
                </c:pt>
                <c:pt idx="3">
                  <c:v>0.013933398355858995</c:v>
                </c:pt>
                <c:pt idx="4">
                  <c:v>0.026125121917235615</c:v>
                </c:pt>
                <c:pt idx="5">
                  <c:v>0.06966699177929497</c:v>
                </c:pt>
                <c:pt idx="6">
                  <c:v>0.07663369095722447</c:v>
                </c:pt>
                <c:pt idx="7">
                  <c:v>0.09753378849101296</c:v>
                </c:pt>
                <c:pt idx="8">
                  <c:v>0.13062560958617808</c:v>
                </c:pt>
                <c:pt idx="9">
                  <c:v>0.14107565835307231</c:v>
                </c:pt>
                <c:pt idx="10">
                  <c:v>0.17416747944823743</c:v>
                </c:pt>
                <c:pt idx="11">
                  <c:v>0.20900097533788492</c:v>
                </c:pt>
                <c:pt idx="12">
                  <c:v>0.20900097533788492</c:v>
                </c:pt>
                <c:pt idx="13">
                  <c:v>0.23512609725512051</c:v>
                </c:pt>
                <c:pt idx="14">
                  <c:v>0.25254284519994424</c:v>
                </c:pt>
                <c:pt idx="15">
                  <c:v>0.28737634108959176</c:v>
                </c:pt>
                <c:pt idx="16">
                  <c:v>0.32743486136268635</c:v>
                </c:pt>
                <c:pt idx="17">
                  <c:v>0.3047930890344155</c:v>
                </c:pt>
                <c:pt idx="18">
                  <c:v>0.3204681621847569</c:v>
                </c:pt>
                <c:pt idx="19">
                  <c:v>0.3448516093075101</c:v>
                </c:pt>
                <c:pt idx="20">
                  <c:v>0.35530165807440434</c:v>
                </c:pt>
                <c:pt idx="21">
                  <c:v>0.3831684547861223</c:v>
                </c:pt>
                <c:pt idx="22">
                  <c:v>0.3849101295806047</c:v>
                </c:pt>
                <c:pt idx="23">
                  <c:v>0.40058520273094606</c:v>
                </c:pt>
                <c:pt idx="24">
                  <c:v>0.3918768287585342</c:v>
                </c:pt>
                <c:pt idx="25">
                  <c:v>0.40058520273094606</c:v>
                </c:pt>
                <c:pt idx="26">
                  <c:v>0.5573359342343598</c:v>
                </c:pt>
                <c:pt idx="27">
                  <c:v>0.6270029260136547</c:v>
                </c:pt>
                <c:pt idx="28">
                  <c:v>0.6270029260136547</c:v>
                </c:pt>
                <c:pt idx="29">
                  <c:v>0.6200362268357252</c:v>
                </c:pt>
                <c:pt idx="30">
                  <c:v>0.6270029260136547</c:v>
                </c:pt>
                <c:pt idx="31">
                  <c:v>0.672634805629093</c:v>
                </c:pt>
                <c:pt idx="32">
                  <c:v>0.7182666852445312</c:v>
                </c:pt>
                <c:pt idx="33">
                  <c:v>0.9056708931308346</c:v>
                </c:pt>
                <c:pt idx="34">
                  <c:v>1</c:v>
                </c:pt>
              </c:numCache>
            </c:numRef>
          </c:yVal>
          <c:smooth val="1"/>
        </c:ser>
        <c:dLbls>
          <c:showBubbleSize val="0"/>
          <c:showCatName val="0"/>
          <c:showLeaderLines val="0"/>
          <c:showLegendKey val="0"/>
          <c:showPercent val="0"/>
          <c:showSerName val="0"/>
          <c:showVal val="0"/>
        </c:dLbls>
        <c:axId val="664968991"/>
        <c:axId val="664968992"/>
      </c:scatterChart>
      <c:valAx>
        <c:axId val="664968991"/>
        <c:scaling>
          <c:orientation val="minMax"/>
          <c:max val="2024.000000"/>
          <c:min val="1956.000000"/>
        </c:scaling>
        <c:delete val="0"/>
        <c:axPos val="b"/>
        <c:majorGridlines>
          <c:spPr bwMode="auto">
            <a:prstGeom prst="rect">
              <a:avLst/>
            </a:prstGeom>
            <a:noFill/>
            <a:ln w="9525" cap="flat" cmpd="sng" algn="ctr">
              <a:solidFill>
                <a:schemeClr val="tx1">
                  <a:lumMod val="15000"/>
                  <a:lumOff val="85000"/>
                </a:schemeClr>
              </a:solidFill>
              <a:round/>
            </a:ln>
          </c:spPr>
        </c:majorGridlines>
        <c:numFmt formatCode="General" sourceLinked="1"/>
        <c:majorTickMark val="out"/>
        <c:minorTickMark val="none"/>
        <c:tickLblPos val="nextTo"/>
        <c:spPr bwMode="auto">
          <a:prstGeom prst="rect">
            <a:avLst/>
          </a:prstGeom>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a:solidFill>
                  <a:schemeClr val="tx1">
                    <a:lumMod val="65000"/>
                    <a:lumOff val="35000"/>
                  </a:schemeClr>
                </a:solidFill>
                <a:latin typeface="Calibri"/>
                <a:ea typeface="Arial"/>
                <a:cs typeface="Arial"/>
              </a:defRPr>
            </a:pPr>
            <a:endParaRPr lang="en-US"/>
          </a:p>
        </c:txPr>
        <c:crossAx val="664968992"/>
        <c:crosses val="autoZero"/>
        <c:crossBetween val="midCat"/>
        <c:majorUnit val="5.000000"/>
      </c:valAx>
      <c:valAx>
        <c:axId val="664968992"/>
        <c:scaling>
          <c:orientation val="minMax"/>
          <c:max val="1.050000"/>
          <c:min val="0.000000"/>
        </c:scaling>
        <c:delete val="0"/>
        <c:axPos val="l"/>
        <c:majorGridlines>
          <c:spPr bwMode="auto">
            <a:prstGeom prst="rect">
              <a:avLst/>
            </a:prstGeom>
            <a:noFill/>
            <a:ln w="9525" cap="flat" cmpd="sng" algn="ctr">
              <a:solidFill>
                <a:schemeClr val="tx1">
                  <a:lumMod val="15000"/>
                  <a:lumOff val="85000"/>
                </a:schemeClr>
              </a:solidFill>
              <a:round/>
            </a:ln>
          </c:spPr>
        </c:majorGridlines>
        <c:title>
          <c:tx>
            <c:rich>
              <a:bodyPr/>
              <a:lstStyle/>
              <a:p>
                <a:pPr>
                  <a:defRPr/>
                </a:pPr>
                <a:r>
                  <a:rPr lang="en-US" sz="2000"/>
                  <a:t>fraction of present day objects in space</a:t>
                </a:r>
                <a:endParaRPr sz="2000"/>
              </a:p>
            </c:rich>
          </c:tx>
          <c:layout/>
          <c:overlay val="0"/>
          <c:spPr bwMode="auto">
            <a:prstGeom prst="rect">
              <a:avLst/>
            </a:prstGeom>
            <a:noFill/>
            <a:ln>
              <a:noFill/>
            </a:ln>
            <a:effectLst/>
          </c:spPr>
          <c:txPr>
            <a:bodyPr rot="-5400000" spcFirstLastPara="1" vertOverflow="ellipsis" vert="horz" wrap="square" anchor="ctr" anchorCtr="1"/>
            <a:lstStyle/>
            <a:p>
              <a:pPr>
                <a:defRPr sz="200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bwMode="auto">
          <a:prstGeom prst="rect">
            <a:avLst/>
          </a:prstGeom>
          <a:noFill/>
          <a:ln w="9525" cap="flat" cmpd="sng" algn="ctr">
            <a:noFill/>
            <a:round/>
          </a:ln>
          <a:effectLst/>
        </c:spPr>
        <c:txPr>
          <a:bodyPr rot="-60000000" spcFirstLastPara="1" vertOverflow="ellipsis" vert="horz" wrap="square" anchor="ctr" anchorCtr="1"/>
          <a:lstStyle/>
          <a:p>
            <a:pPr>
              <a:defRPr sz="1400">
                <a:solidFill>
                  <a:schemeClr val="tx1">
                    <a:lumMod val="65000"/>
                    <a:lumOff val="35000"/>
                  </a:schemeClr>
                </a:solidFill>
                <a:latin typeface="Calibri"/>
                <a:ea typeface="Arial"/>
                <a:cs typeface="Arial"/>
              </a:defRPr>
            </a:pPr>
            <a:endParaRPr lang="en-US"/>
          </a:p>
        </c:txPr>
        <c:crossAx val="664968991"/>
        <c:crosses val="autoZero"/>
        <c:crossesAt val="2.000000"/>
        <c:crossBetween val="midCat"/>
      </c:valAx>
      <c:spPr bwMode="auto">
        <a:prstGeom prst="rect">
          <a:avLst/>
        </a:prstGeom>
        <a:noFill/>
        <a:ln>
          <a:noFill/>
        </a:ln>
        <a:effectLst/>
      </c:spPr>
    </c:plotArea>
    <c:plotVisOnly val="1"/>
    <c:dispBlanksAs val="gap"/>
    <c:showDLblsOverMax val="0"/>
  </c:chart>
  <c:spPr bwMode="auto">
    <a:xfrm rot="0">
      <a:off x="2105024" y="457198"/>
      <a:ext cx="13683614" cy="6918959"/>
    </a:xfrm>
    <a:prstGeom prst="rect">
      <a:avLst/>
    </a:prstGeom>
    <a:solidFill>
      <a:schemeClr val="bg1"/>
    </a:solidFill>
    <a:ln w="9525" cap="flat" cmpd="sng" algn="ctr">
      <a:solidFill>
        <a:schemeClr val="tx1">
          <a:lumMod val="15000"/>
          <a:lumOff val="85000"/>
        </a:schemeClr>
      </a:solidFill>
      <a:round/>
    </a:ln>
    <a:effectLst/>
  </c:spPr>
  <c:txPr>
    <a:bodyPr/>
    <a:lstStyle/>
    <a:p>
      <a:pPr>
        <a:defRPr sz="1000">
          <a:solidFill>
            <a:schemeClr val="tx1"/>
          </a:solidFill>
          <a:latin typeface="+mn-lt"/>
          <a:ea typeface="+mn-ea"/>
          <a:cs typeface="+mn-cs"/>
        </a:defRPr>
      </a:pPr>
      <a:endParaRPr lang="en-US"/>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25000"/>
            <a:lumOff val="7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bwMode="auto">
      <a:prstGeom prst="rect">
        <a:avLst/>
      </a:prstGeom>
      <a:ln w="19050"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Wireframe>
    <cs:lnRef idx="0">
      <cs:styleClr val="auto"/>
    </cs:lnRef>
    <cs:fillRef idx="0"/>
    <cs:effectRef idx="0"/>
    <cs:fontRef idx="minor">
      <a:schemeClr val="dk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tx1"/>
    </cs:fontRef>
    <cs:spPr bwMode="auto">
      <a:prstGeom prst="rect">
        <a:avLst/>
      </a:prstGeom>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50000"/>
            <a:lumOff val="50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bwMode="auto">
      <a:prstGeom prst="rect">
        <a:avLst/>
      </a:prstGeom>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bwMode="auto">
      <a:prstGeom prst="rect">
        <a:avLst/>
      </a:prstGeom>
      <a:ln w="9525" cap="flat" cmpd="sng" algn="ctr">
        <a:solidFill>
          <a:schemeClr val="tx1">
            <a:lumMod val="25000"/>
            <a:lumOff val="75000"/>
          </a:schemeClr>
        </a:solidFill>
        <a:round/>
      </a:ln>
    </cs:spPr>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3</xdr:col>
      <xdr:colOff>276223</xdr:colOff>
      <xdr:row>2</xdr:row>
      <xdr:rowOff>91436</xdr:rowOff>
    </xdr:from>
    <xdr:to>
      <xdr:col>25</xdr:col>
      <xdr:colOff>548637</xdr:colOff>
      <xdr:row>40</xdr:row>
      <xdr:rowOff>60956</xdr:rowOff>
    </xdr:to>
    <xdr:graphicFrame>
      <xdr:nvGraphicFramePr>
        <xdr:cNvPr id="2" name="Chart 1"/>
        <xdr:cNvGraphicFramePr>
          <a:graphicFrameLocks xmlns:a="http://schemas.openxmlformats.org/drawingml/2006/main"/>
        </xdr:cNvGraphicFramePr>
      </xdr:nvGraphicFramePr>
      <xdr:xfrm rot="0">
        <a:off x="2105024" y="457198"/>
        <a:ext cx="13683614" cy="6918959"/>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5</xdr:col>
      <xdr:colOff>295273</xdr:colOff>
      <xdr:row>4</xdr:row>
      <xdr:rowOff>128188</xdr:rowOff>
    </xdr:from>
    <xdr:to>
      <xdr:col>16</xdr:col>
      <xdr:colOff>171447</xdr:colOff>
      <xdr:row>12</xdr:row>
      <xdr:rowOff>19116</xdr:rowOff>
    </xdr:to>
    <xdr:sp>
      <xdr:nvSpPr>
        <xdr:cNvPr id="6" name="TextBox 3"/>
        <xdr:cNvSpPr txBox="1"/>
      </xdr:nvSpPr>
      <xdr:spPr bwMode="auto">
        <a:xfrm>
          <a:off x="3343273" y="859708"/>
          <a:ext cx="6581774" cy="1353967"/>
        </a:xfrm>
        <a:prstGeom prst="rect">
          <a:avLst/>
        </a:prstGeom>
        <a:solidFill>
          <a:sysClr val="window" lastClr="FFFFFF"/>
        </a:solidFill>
      </xdr:spPr>
      <xdr:txBody>
        <a:bodyPr wrap="square" rtlCol="0">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2800">
              <a:solidFill>
                <a:schemeClr val="accent2"/>
              </a:solidFill>
            </a:rPr>
            <a:t>BRIZ-M explosion (2006)</a:t>
          </a:r>
          <a:endParaRPr/>
        </a:p>
        <a:p>
          <a:pPr>
            <a:defRPr/>
          </a:pPr>
          <a:r>
            <a:rPr lang="en-US" sz="2800">
              <a:solidFill>
                <a:schemeClr val="accent2"/>
              </a:solidFill>
            </a:rPr>
            <a:t>Fengyun-1C ASAT test (2007)</a:t>
          </a:r>
          <a:endParaRPr/>
        </a:p>
        <a:p>
          <a:pPr>
            <a:defRPr/>
          </a:pPr>
          <a:r>
            <a:rPr lang="en-US" sz="2800">
              <a:solidFill>
                <a:schemeClr val="accent2"/>
              </a:solidFill>
            </a:rPr>
            <a:t>Iridium 33 </a:t>
          </a:r>
          <a:r>
            <a:rPr lang="en-US" sz="2800">
              <a:solidFill>
                <a:schemeClr val="accent2"/>
              </a:solidFill>
            </a:rPr>
            <a:t></a:t>
          </a:r>
          <a:r>
            <a:rPr lang="en-US" sz="2800">
              <a:solidFill>
                <a:schemeClr val="accent2"/>
              </a:solidFill>
            </a:rPr>
            <a:t> Kosmos-2251 </a:t>
          </a:r>
          <a:r>
            <a:rPr lang="en-US" sz="2800" i="1">
              <a:solidFill>
                <a:schemeClr val="accent2"/>
              </a:solidFill>
            </a:rPr>
            <a:t>collision</a:t>
          </a:r>
          <a:r>
            <a:rPr lang="en-US" sz="2800">
              <a:solidFill>
                <a:schemeClr val="accent2"/>
              </a:solidFill>
            </a:rPr>
            <a:t> (2009)</a:t>
          </a:r>
          <a:endParaRPr/>
        </a:p>
      </xdr:txBody>
    </xdr:sp>
    <xdr:clientData/>
  </xdr:twoCellAnchor>
  <xdr:twoCellAnchor editAs="twoCell">
    <xdr:from>
      <xdr:col>19</xdr:col>
      <xdr:colOff>396238</xdr:colOff>
      <xdr:row>20</xdr:row>
      <xdr:rowOff>85723</xdr:rowOff>
    </xdr:from>
    <xdr:to>
      <xdr:col>20</xdr:col>
      <xdr:colOff>548637</xdr:colOff>
      <xdr:row>27</xdr:row>
      <xdr:rowOff>24762</xdr:rowOff>
    </xdr:to>
    <xdr:sp>
      <xdr:nvSpPr>
        <xdr:cNvPr id="1408895264" name=""/>
        <xdr:cNvSpPr/>
      </xdr:nvSpPr>
      <xdr:spPr bwMode="auto">
        <a:xfrm flipH="0" flipV="0">
          <a:off x="11978638" y="3743323"/>
          <a:ext cx="761999" cy="1219199"/>
        </a:xfrm>
        <a:prstGeom prst="rect">
          <a:avLst/>
        </a:prstGeom>
        <a:solidFill>
          <a:schemeClr val="accent4">
            <a:alpha val="16999"/>
          </a:schemeClr>
        </a:solidFill>
        <a:ln w="12700" cap="flat" cmpd="sng" algn="ctr">
          <a:noFill/>
          <a:prstDash val="solid"/>
          <a:miter lim="800000"/>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editAs="twoCell">
    <xdr:from>
      <xdr:col>5</xdr:col>
      <xdr:colOff>295273</xdr:colOff>
      <xdr:row>4</xdr:row>
      <xdr:rowOff>128188</xdr:rowOff>
    </xdr:from>
    <xdr:to>
      <xdr:col>15</xdr:col>
      <xdr:colOff>434339</xdr:colOff>
      <xdr:row>12</xdr:row>
      <xdr:rowOff>19115</xdr:rowOff>
    </xdr:to>
    <xdr:sp>
      <xdr:nvSpPr>
        <xdr:cNvPr id="843055243" name=""/>
        <xdr:cNvSpPr/>
      </xdr:nvSpPr>
      <xdr:spPr bwMode="auto">
        <a:xfrm flipH="0" flipV="0">
          <a:off x="3343273" y="859708"/>
          <a:ext cx="6235065" cy="1353966"/>
        </a:xfrm>
        <a:prstGeom prst="rect">
          <a:avLst/>
        </a:prstGeom>
        <a:solidFill>
          <a:schemeClr val="accent4">
            <a:alpha val="16999"/>
          </a:schemeClr>
        </a:solidFill>
        <a:ln w="12700" cap="flat" cmpd="sng" algn="ctr">
          <a:noFill/>
          <a:prstDash val="solid"/>
          <a:miter lim="800000"/>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editAs="twoCell">
    <xdr:from>
      <xdr:col>10</xdr:col>
      <xdr:colOff>5714</xdr:colOff>
      <xdr:row>12</xdr:row>
      <xdr:rowOff>15239</xdr:rowOff>
    </xdr:from>
    <xdr:to>
      <xdr:col>19</xdr:col>
      <xdr:colOff>386714</xdr:colOff>
      <xdr:row>23</xdr:row>
      <xdr:rowOff>3808</xdr:rowOff>
    </xdr:to>
    <xdr:cxnSp>
      <xdr:nvCxnSpPr>
        <xdr:cNvPr id="0" name=""/>
        <xdr:cNvCxnSpPr/>
      </xdr:nvCxnSpPr>
      <xdr:spPr bwMode="auto">
        <a:xfrm flipH="0" flipV="0">
          <a:off x="6101714" y="2209799"/>
          <a:ext cx="5867399" cy="2000248"/>
        </a:xfrm>
        <a:prstGeom prst="line">
          <a:avLst/>
        </a:prstGeom>
        <a:ln w="12699" cap="flat" cmpd="sng" algn="ctr">
          <a:solidFill>
            <a:schemeClr val="accent4"/>
          </a:solidFill>
          <a:prstDash val="solid"/>
          <a:miter lim="800000"/>
        </a:ln>
      </xdr:spPr>
      <xdr:style>
        <a:lnRef idx="1">
          <a:schemeClr val="accent1">
            <a:shade val="50000"/>
          </a:schemeClr>
        </a:lnRef>
        <a:fillRef idx="0">
          <a:schemeClr val="accent1"/>
        </a:fillRef>
        <a:effectRef idx="0">
          <a:schemeClr val="accent1"/>
        </a:effectRef>
        <a:fontRef idx="minor">
          <a:schemeClr val="tx1"/>
        </a:fontRef>
      </xdr:style>
    </xdr:cxnSp>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www.orbitaldebris.jsc.nasa.gov/quarterly-news/"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7" zoomScale="100" workbookViewId="0">
      <selection activeCell="U32" activeCellId="0" sqref="U32"/>
    </sheetView>
  </sheetViews>
  <sheetFormatPr defaultRowHeight="14.25"/>
  <cols>
    <col min="1" max="16384" style="1" width="9.140625"/>
  </cols>
  <sheetData>
    <row r="1">
      <c r="A1" s="2">
        <v>1956</v>
      </c>
      <c r="B1" s="2">
        <v>0</v>
      </c>
      <c r="C1" s="1">
        <f>B1/28708</f>
        <v>0</v>
      </c>
    </row>
    <row r="2">
      <c r="A2" s="2">
        <f t="shared" ref="A2:A32" si="0">A1+2</f>
        <v>1958</v>
      </c>
      <c r="B2" s="2">
        <v>50</v>
      </c>
      <c r="C2">
        <f t="shared" ref="C2:C9" si="1">B2/$B$36</f>
        <v>0.001652892561983471</v>
      </c>
    </row>
    <row r="3">
      <c r="A3" s="2">
        <f t="shared" si="0"/>
        <v>1960</v>
      </c>
      <c r="B3" s="2">
        <v>100</v>
      </c>
      <c r="C3">
        <f t="shared" si="1"/>
        <v>0.0033057851239669421</v>
      </c>
      <c r="G3" s="1"/>
      <c r="H3" s="1"/>
      <c r="I3" s="1"/>
      <c r="J3" s="1"/>
      <c r="K3" s="1"/>
      <c r="L3" s="1"/>
      <c r="M3" s="1"/>
    </row>
    <row r="4">
      <c r="A4" s="2">
        <f t="shared" si="0"/>
        <v>1962</v>
      </c>
      <c r="B4" s="2">
        <v>400</v>
      </c>
      <c r="C4">
        <f t="shared" si="1"/>
        <v>0.013223140495867768</v>
      </c>
      <c r="G4" s="1"/>
      <c r="H4" s="1"/>
      <c r="I4" s="1"/>
      <c r="J4" s="1"/>
      <c r="K4" s="1"/>
      <c r="L4" s="1"/>
      <c r="M4" s="1"/>
    </row>
    <row r="5">
      <c r="A5" s="2">
        <f t="shared" si="0"/>
        <v>1964</v>
      </c>
      <c r="B5" s="2">
        <v>750</v>
      </c>
      <c r="C5">
        <f t="shared" si="1"/>
        <v>0.024793388429752067</v>
      </c>
      <c r="G5" s="1"/>
      <c r="H5" s="1"/>
      <c r="I5" s="1"/>
      <c r="J5" s="1"/>
      <c r="K5" s="1"/>
      <c r="L5" s="1"/>
      <c r="M5" s="1"/>
    </row>
    <row r="6">
      <c r="A6" s="2">
        <f t="shared" si="0"/>
        <v>1966</v>
      </c>
      <c r="B6" s="2">
        <v>2000</v>
      </c>
      <c r="C6">
        <f t="shared" si="1"/>
        <v>0.066115702479338845</v>
      </c>
      <c r="G6" s="1"/>
      <c r="H6" s="1"/>
      <c r="I6" s="1"/>
      <c r="J6" s="1"/>
      <c r="K6" s="1"/>
      <c r="L6" s="1"/>
      <c r="M6" s="1"/>
    </row>
    <row r="7">
      <c r="A7" s="2">
        <f t="shared" si="0"/>
        <v>1968</v>
      </c>
      <c r="B7" s="2">
        <v>2200</v>
      </c>
      <c r="C7">
        <f t="shared" si="1"/>
        <v>0.072727272727272724</v>
      </c>
      <c r="G7" s="1"/>
      <c r="H7" s="1"/>
      <c r="I7" s="1"/>
      <c r="J7" s="1"/>
      <c r="K7" s="1"/>
      <c r="L7" s="1"/>
      <c r="M7" s="1"/>
    </row>
    <row r="8">
      <c r="A8" s="2">
        <f t="shared" si="0"/>
        <v>1970</v>
      </c>
      <c r="B8" s="2">
        <v>2800</v>
      </c>
      <c r="C8">
        <f t="shared" si="1"/>
        <v>0.092561983471074374</v>
      </c>
      <c r="G8" s="1"/>
      <c r="H8" s="1"/>
      <c r="I8" s="1"/>
      <c r="J8" s="1"/>
      <c r="K8" s="1"/>
      <c r="L8" s="1"/>
      <c r="M8" s="1"/>
    </row>
    <row r="9">
      <c r="A9" s="2">
        <f t="shared" si="0"/>
        <v>1972</v>
      </c>
      <c r="B9" s="2">
        <v>3750</v>
      </c>
      <c r="C9">
        <f t="shared" si="1"/>
        <v>0.12396694214876033</v>
      </c>
      <c r="G9" s="1"/>
      <c r="H9" s="1"/>
      <c r="I9" s="1"/>
      <c r="J9" s="1"/>
      <c r="K9" s="1"/>
      <c r="L9" s="1"/>
      <c r="M9" s="1"/>
    </row>
    <row r="10">
      <c r="A10" s="2">
        <f t="shared" si="0"/>
        <v>1974</v>
      </c>
      <c r="B10" s="2">
        <v>4050</v>
      </c>
      <c r="C10">
        <f t="shared" ref="C10:C36" si="2">B10/$B$36</f>
        <v>0.13388429752066117</v>
      </c>
      <c r="G10" s="1"/>
      <c r="H10" s="1"/>
      <c r="I10" s="1"/>
      <c r="J10" s="1"/>
      <c r="K10" s="1"/>
      <c r="L10" s="1"/>
      <c r="M10" s="1"/>
    </row>
    <row r="11">
      <c r="A11" s="2">
        <f t="shared" si="0"/>
        <v>1976</v>
      </c>
      <c r="B11" s="2">
        <v>5000</v>
      </c>
      <c r="C11">
        <f t="shared" si="2"/>
        <v>0.16528925619834711</v>
      </c>
      <c r="G11" s="1"/>
      <c r="H11" s="1"/>
      <c r="I11" s="1"/>
      <c r="J11" s="1"/>
      <c r="K11" s="1"/>
      <c r="L11" s="1"/>
      <c r="M11" s="1"/>
    </row>
    <row r="12">
      <c r="A12" s="2">
        <f t="shared" si="0"/>
        <v>1978</v>
      </c>
      <c r="B12" s="2">
        <v>6000</v>
      </c>
      <c r="C12">
        <f t="shared" si="2"/>
        <v>0.19834710743801653</v>
      </c>
      <c r="G12" s="1"/>
      <c r="H12" s="1"/>
      <c r="I12" s="1"/>
      <c r="J12" s="1"/>
      <c r="K12" s="1"/>
      <c r="L12" s="1"/>
      <c r="M12" s="1"/>
    </row>
    <row r="13">
      <c r="A13" s="2">
        <f t="shared" si="0"/>
        <v>1980</v>
      </c>
      <c r="B13" s="2">
        <v>6000</v>
      </c>
      <c r="C13">
        <f t="shared" si="2"/>
        <v>0.19834710743801653</v>
      </c>
      <c r="G13" s="1"/>
      <c r="H13" s="1"/>
      <c r="I13" s="1"/>
      <c r="J13" s="1"/>
      <c r="K13" s="1"/>
      <c r="L13" s="1"/>
      <c r="M13" s="1"/>
    </row>
    <row r="14">
      <c r="A14" s="2">
        <f t="shared" si="0"/>
        <v>1982</v>
      </c>
      <c r="B14" s="2">
        <v>6750</v>
      </c>
      <c r="C14">
        <f t="shared" si="2"/>
        <v>0.2231404958677686</v>
      </c>
      <c r="G14" s="1"/>
      <c r="H14" s="1"/>
      <c r="I14" s="1"/>
      <c r="J14" s="1"/>
      <c r="K14" s="1"/>
      <c r="L14" s="1"/>
      <c r="M14" s="1"/>
    </row>
    <row r="15">
      <c r="A15" s="2">
        <f t="shared" si="0"/>
        <v>1984</v>
      </c>
      <c r="B15" s="2">
        <v>7250</v>
      </c>
      <c r="C15">
        <f t="shared" si="2"/>
        <v>0.23966942148760331</v>
      </c>
      <c r="G15" s="1"/>
      <c r="H15" s="1"/>
      <c r="I15" s="1"/>
      <c r="J15" s="1"/>
      <c r="K15" s="1"/>
      <c r="L15" s="1"/>
      <c r="M15" s="1"/>
    </row>
    <row r="16">
      <c r="A16" s="2">
        <f t="shared" si="0"/>
        <v>1986</v>
      </c>
      <c r="B16" s="2">
        <v>8250</v>
      </c>
      <c r="C16">
        <f t="shared" si="2"/>
        <v>0.27272727272727271</v>
      </c>
      <c r="G16" s="1"/>
      <c r="H16" s="1"/>
      <c r="I16" s="1"/>
      <c r="J16" s="1"/>
      <c r="K16" s="1"/>
      <c r="L16" s="1"/>
      <c r="M16" s="1"/>
    </row>
    <row r="17">
      <c r="A17" s="2">
        <f t="shared" si="0"/>
        <v>1988</v>
      </c>
      <c r="B17" s="2">
        <v>9400</v>
      </c>
      <c r="C17">
        <f t="shared" si="2"/>
        <v>0.31074380165289256</v>
      </c>
      <c r="G17" s="1"/>
      <c r="H17" s="1"/>
      <c r="I17" s="1"/>
      <c r="J17" s="1"/>
      <c r="K17" s="1"/>
      <c r="L17" s="1"/>
      <c r="M17" s="1"/>
    </row>
    <row r="18">
      <c r="A18" s="2">
        <f t="shared" si="0"/>
        <v>1990</v>
      </c>
      <c r="B18" s="2">
        <v>8750</v>
      </c>
      <c r="C18">
        <f t="shared" si="2"/>
        <v>0.28925619834710742</v>
      </c>
      <c r="G18" s="1"/>
      <c r="H18" s="1"/>
      <c r="I18" s="1"/>
      <c r="J18" s="1"/>
      <c r="K18" s="1"/>
      <c r="L18" s="1"/>
      <c r="M18" s="1"/>
    </row>
    <row r="19">
      <c r="A19" s="2">
        <f t="shared" si="0"/>
        <v>1992</v>
      </c>
      <c r="B19" s="2">
        <v>9200</v>
      </c>
      <c r="C19">
        <f t="shared" si="2"/>
        <v>0.30413223140495865</v>
      </c>
      <c r="G19" s="1"/>
      <c r="H19" s="1"/>
      <c r="I19" s="1"/>
      <c r="J19" s="1"/>
      <c r="K19" s="1"/>
      <c r="L19" s="1"/>
      <c r="M19" s="1"/>
    </row>
    <row r="20">
      <c r="A20" s="2">
        <f t="shared" si="0"/>
        <v>1994</v>
      </c>
      <c r="B20" s="2">
        <v>9900</v>
      </c>
      <c r="C20">
        <f t="shared" si="2"/>
        <v>0.32727272727272727</v>
      </c>
      <c r="G20" s="1"/>
      <c r="H20" s="1"/>
      <c r="I20" s="1"/>
      <c r="J20" s="1"/>
      <c r="K20" s="1"/>
      <c r="L20" s="1"/>
      <c r="M20" s="1"/>
    </row>
    <row r="21">
      <c r="A21" s="2">
        <f t="shared" si="0"/>
        <v>1996</v>
      </c>
      <c r="B21" s="2">
        <v>10200</v>
      </c>
      <c r="C21">
        <f t="shared" si="2"/>
        <v>0.33719008264462808</v>
      </c>
      <c r="G21" s="1"/>
      <c r="H21" s="1"/>
      <c r="I21" s="1"/>
      <c r="J21" s="1"/>
      <c r="K21" s="1"/>
      <c r="L21" s="1"/>
      <c r="M21" s="1"/>
    </row>
    <row r="22">
      <c r="A22" s="2">
        <f t="shared" si="0"/>
        <v>1998</v>
      </c>
      <c r="B22" s="2">
        <v>11000</v>
      </c>
      <c r="C22">
        <f t="shared" si="2"/>
        <v>0.36363636363636365</v>
      </c>
      <c r="G22" s="1"/>
      <c r="H22" s="1"/>
      <c r="I22" s="1"/>
      <c r="J22" s="1"/>
      <c r="K22" s="1"/>
      <c r="L22" s="1"/>
      <c r="M22" s="1"/>
    </row>
    <row r="23">
      <c r="A23" s="2">
        <f>A22+2</f>
        <v>2000</v>
      </c>
      <c r="B23" s="2">
        <v>11050</v>
      </c>
      <c r="C23">
        <f t="shared" si="2"/>
        <v>0.36528925619834712</v>
      </c>
      <c r="G23" s="1"/>
      <c r="H23" s="1"/>
      <c r="I23" s="1"/>
      <c r="J23" s="1"/>
      <c r="K23" s="1"/>
      <c r="L23" s="1"/>
      <c r="M23" s="1"/>
    </row>
    <row r="24">
      <c r="A24" s="2">
        <f t="shared" si="0"/>
        <v>2002</v>
      </c>
      <c r="B24" s="2">
        <v>11500</v>
      </c>
      <c r="C24">
        <f t="shared" si="2"/>
        <v>0.38016528925619836</v>
      </c>
      <c r="G24" s="1"/>
      <c r="H24" s="1"/>
      <c r="I24" s="1"/>
      <c r="J24" s="1"/>
      <c r="K24" s="1"/>
      <c r="L24" s="1"/>
      <c r="M24" s="1"/>
    </row>
    <row r="25">
      <c r="A25" s="2">
        <f t="shared" si="0"/>
        <v>2004</v>
      </c>
      <c r="B25" s="2">
        <v>11250</v>
      </c>
      <c r="C25">
        <f t="shared" si="2"/>
        <v>0.37190082644628097</v>
      </c>
      <c r="G25" s="1"/>
      <c r="H25" s="1"/>
      <c r="I25" s="1"/>
      <c r="J25" s="1"/>
      <c r="K25" s="1"/>
      <c r="L25" s="1"/>
      <c r="M25" s="1"/>
    </row>
    <row r="26">
      <c r="A26" s="2">
        <f t="shared" si="0"/>
        <v>2006</v>
      </c>
      <c r="B26" s="2">
        <v>11500</v>
      </c>
      <c r="C26">
        <f t="shared" si="2"/>
        <v>0.38016528925619836</v>
      </c>
      <c r="G26" s="1"/>
      <c r="H26" s="1"/>
      <c r="I26" s="1"/>
      <c r="J26" s="1"/>
      <c r="K26" s="1"/>
      <c r="L26" s="1"/>
      <c r="M26" s="1"/>
    </row>
    <row r="27">
      <c r="A27" s="2">
        <f t="shared" si="0"/>
        <v>2008</v>
      </c>
      <c r="B27" s="2">
        <v>16000</v>
      </c>
      <c r="C27">
        <f t="shared" si="2"/>
        <v>0.52892561983471076</v>
      </c>
      <c r="U27" s="3" t="s">
        <v>0</v>
      </c>
    </row>
    <row r="28">
      <c r="A28" s="2">
        <f t="shared" si="0"/>
        <v>2010</v>
      </c>
      <c r="B28" s="2">
        <v>18000</v>
      </c>
      <c r="C28">
        <f t="shared" si="2"/>
        <v>0.5950413223140496</v>
      </c>
    </row>
    <row r="29">
      <c r="A29" s="2">
        <f t="shared" si="0"/>
        <v>2012</v>
      </c>
      <c r="B29" s="2">
        <v>18000</v>
      </c>
      <c r="C29">
        <f t="shared" si="2"/>
        <v>0.5950413223140496</v>
      </c>
    </row>
    <row r="30">
      <c r="A30" s="2">
        <f t="shared" si="0"/>
        <v>2014</v>
      </c>
      <c r="B30" s="2">
        <v>17800</v>
      </c>
      <c r="C30">
        <f t="shared" si="2"/>
        <v>0.5884297520661157</v>
      </c>
    </row>
    <row r="31">
      <c r="A31" s="2">
        <f t="shared" si="0"/>
        <v>2016</v>
      </c>
      <c r="B31" s="2">
        <v>18000</v>
      </c>
      <c r="C31">
        <f t="shared" si="2"/>
        <v>0.5950413223140496</v>
      </c>
    </row>
    <row r="32">
      <c r="A32" s="2">
        <f t="shared" si="0"/>
        <v>2018</v>
      </c>
      <c r="B32" s="2">
        <f>18000+1310</f>
        <v>19310</v>
      </c>
      <c r="C32">
        <f t="shared" si="2"/>
        <v>0.63834710743801648</v>
      </c>
    </row>
    <row r="33">
      <c r="A33" s="2">
        <v>2020</v>
      </c>
      <c r="B33" s="2">
        <f>18000+2620</f>
        <v>20620</v>
      </c>
      <c r="C33">
        <f t="shared" si="2"/>
        <v>0.68165289256198347</v>
      </c>
    </row>
    <row r="34" ht="15">
      <c r="A34">
        <v>2022</v>
      </c>
      <c r="B34">
        <v>26000</v>
      </c>
      <c r="C34">
        <f t="shared" si="2"/>
        <v>0.85950413223140498</v>
      </c>
    </row>
    <row r="35" ht="15">
      <c r="A35">
        <v>2024</v>
      </c>
      <c r="B35">
        <f>26000+2708</f>
        <v>28708</v>
      </c>
      <c r="C35">
        <f t="shared" si="2"/>
        <v>0.94902479338842971</v>
      </c>
    </row>
    <row r="36" ht="14.25">
      <c r="A36">
        <v>2026</v>
      </c>
      <c r="B36">
        <v>30250</v>
      </c>
      <c r="C36">
        <f t="shared" si="2"/>
        <v>1</v>
      </c>
    </row>
    <row r="41" ht="61.200000000000003" customHeight="1">
      <c r="B41" s="4" t="s">
        <v>1</v>
      </c>
      <c r="C41" s="5"/>
      <c r="D41" s="5"/>
      <c r="E41" s="5"/>
      <c r="F41" s="5"/>
      <c r="G41" s="5"/>
      <c r="H41" s="5"/>
      <c r="I41" s="5"/>
      <c r="J41" s="5"/>
      <c r="K41" s="5"/>
      <c r="L41" s="5"/>
      <c r="M41" s="5"/>
      <c r="N41" s="5"/>
      <c r="O41" s="5"/>
      <c r="P41" s="5"/>
      <c r="Q41" s="5"/>
      <c r="R41" s="5"/>
      <c r="S41" s="5"/>
      <c r="T41" s="5"/>
    </row>
  </sheetData>
  <mergeCells count="1">
    <mergeCell ref="B41:T41"/>
  </mergeCells>
  <hyperlinks>
    <hyperlink r:id="rId1" ref="U2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2"/>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aloof</dc:creator>
  <cp:revision>6</cp:revision>
  <dcterms:created xsi:type="dcterms:W3CDTF">2019-12-04T22:10:02Z</dcterms:created>
  <dcterms:modified xsi:type="dcterms:W3CDTF">2026-10-05T16:55:28Z</dcterms:modified>
</cp:coreProperties>
</file>